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82555a22d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067e316d8a43a4"/>
    <x:sheet xmlns:r="http://schemas.openxmlformats.org/officeDocument/2006/relationships" name="Detail_All" sheetId="2" r:id="R502dba95a2dc494e"/>
    <x:sheet xmlns:r="http://schemas.openxmlformats.org/officeDocument/2006/relationships" name="By_Model" sheetId="3" r:id="R7b8f65f8f7d74fd3"/>
    <x:sheet xmlns:r="http://schemas.openxmlformats.org/officeDocument/2006/relationships" name="By_Dataset" sheetId="4" r:id="R926f0aacff134a77"/>
    <x:sheet xmlns:r="http://schemas.openxmlformats.org/officeDocument/2006/relationships" name="G1_F_vs_Base" sheetId="5" r:id="Rd29ec13f35774cb7"/>
    <x:sheet xmlns:r="http://schemas.openxmlformats.org/officeDocument/2006/relationships" name="G2_P_vs_Base" sheetId="6" r:id="R21e219a7b771406f"/>
    <x:sheet xmlns:r="http://schemas.openxmlformats.org/officeDocument/2006/relationships" name="G3_Spec_vs_F" sheetId="7" r:id="R7a785b62437e456a"/>
    <x:sheet xmlns:r="http://schemas.openxmlformats.org/officeDocument/2006/relationships" name="G4_Spec_vs_P" sheetId="8" r:id="R267cf15d7306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%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  <x:dxfs count="30"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  <x:dxf>
      <x:font>
        <x:color rgb="FF166534"/>
      </x:font>
      <x:fill>
        <x:patternFill patternType="solid">
          <x:bgColor rgb="FFE2F0D9"/>
        </x:patternFill>
      </x:fill>
    </x:dxf>
    <x:dxf>
      <x:font>
        <x:color rgb="FF9A3412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4c8ce878f492e" /><Relationship Type="http://schemas.openxmlformats.org/officeDocument/2006/relationships/theme" Target="/xl/theme/theme1.xml" Id="R0743343da4d148f8" /><Relationship Type="http://schemas.openxmlformats.org/officeDocument/2006/relationships/sharedStrings" Target="/xl/sharedStrings.xml" Id="R02c71037aa38439f" /><Relationship Type="http://schemas.openxmlformats.org/officeDocument/2006/relationships/worksheet" Target="/xl/worksheets/sheet1.xml" Id="Rde067e316d8a43a4" /><Relationship Type="http://schemas.openxmlformats.org/officeDocument/2006/relationships/worksheet" Target="/xl/worksheets/sheet2.xml" Id="R502dba95a2dc494e" /><Relationship Type="http://schemas.openxmlformats.org/officeDocument/2006/relationships/worksheet" Target="/xl/worksheets/sheet3.xml" Id="R7b8f65f8f7d74fd3" /><Relationship Type="http://schemas.openxmlformats.org/officeDocument/2006/relationships/worksheet" Target="/xl/worksheets/sheet4.xml" Id="R926f0aacff134a77" /><Relationship Type="http://schemas.openxmlformats.org/officeDocument/2006/relationships/worksheet" Target="/xl/worksheets/sheet5.xml" Id="Rd29ec13f35774cb7" /><Relationship Type="http://schemas.openxmlformats.org/officeDocument/2006/relationships/worksheet" Target="/xl/worksheets/sheet6.xml" Id="R21e219a7b771406f" /><Relationship Type="http://schemas.openxmlformats.org/officeDocument/2006/relationships/worksheet" Target="/xl/worksheets/sheet7.xml" Id="R7a785b62437e456a" /><Relationship Type="http://schemas.openxmlformats.org/officeDocument/2006/relationships/worksheet" Target="/xl/worksheets/sheet8.xml" Id="R267cf15d730642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0175a1e58347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Improvement and Win Rate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% Improvement</c:v>
          </c:tx>
          <c:cat>
            <c:strRef>
              <c:f>'Summary'!$A$12:$A$15</c:f>
              <c:strCache>
                <c:ptCount val="0"/>
              </c:strCache>
            </c:strRef>
          </c:cat>
          <c:val>
            <c:numRef>
              <c:f>'Summary'!$B$12:$B$15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Win Rate</c:v>
          </c:tx>
          <c:cat>
            <c:strRef>
              <c:f>'Summary'!$A$12:$A$15</c:f>
              <c:strCache>
                <c:ptCount val="0"/>
              </c:strCache>
            </c:strRef>
          </c:cat>
          <c:val>
            <c:numRef>
              <c:f>'Summary'!$C$12:$C$15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0175a1e58347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tailAllTable" displayName="DetailAllTable" ref="A1:S172" headerRowCount="1">
  <x:autoFilter ref="A1:S172"/>
  <x:tableColumns count="19">
    <x:tableColumn id="1" name="Model"/>
    <x:tableColumn id="2" name="Dataset"/>
    <x:tableColumn id="3" name="Horizon"/>
    <x:tableColumn id="4" name="Baseline MSE"/>
    <x:tableColumn id="5" name="COSA-F MSE"/>
    <x:tableColumn id="6" name="COSA-P MSE"/>
    <x:tableColumn id="7" name="Spectral MSE"/>
    <x:tableColumn id="8" name="COSA-F vs Baseline Abs Drop"/>
    <x:tableColumn id="9" name="COSA-F vs Baseline %"/>
    <x:tableColumn id="10" name="COSA-P vs Baseline Abs Drop"/>
    <x:tableColumn id="11" name="COSA-P vs Baseline %"/>
    <x:tableColumn id="12" name="Spectral vs COSA-F Abs Drop"/>
    <x:tableColumn id="13" name="Spectral vs COSA-F %"/>
    <x:tableColumn id="14" name="Spectral vs COSA-P Abs Drop"/>
    <x:tableColumn id="15" name="Spectral vs COSA-P %"/>
    <x:tableColumn id="16" name="Baseline Seeds"/>
    <x:tableColumn id="17" name="COSA-F Seeds"/>
    <x:tableColumn id="18" name="COSA-P Seeds"/>
    <x:tableColumn id="19" name="Spectral Seeds"/>
  </x:tableColumns>
  <x:tableStyleInfo name="TableStyleMedium2" showRowStripes="1"/>
</x:table>
</file>

<file path=xl/tables/table2.xml><?xml version="1.0" encoding="utf-8"?>
<x:table xmlns:x="http://schemas.openxmlformats.org/spreadsheetml/2006/main" id="2" name="ByModelTable" displayName="ByModelTable" ref="A1:J7" headerRowCount="1">
  <x:autoFilter ref="A1:J7"/>
  <x:tableColumns count="10">
    <x:tableColumn id="1" name="Model"/>
    <x:tableColumn id="2" name="N"/>
    <x:tableColumn id="3" name="COSA-F vs Baseline %"/>
    <x:tableColumn id="4" name="COSA-P vs Baseline %"/>
    <x:tableColumn id="5" name="Spectral vs COSA-F %"/>
    <x:tableColumn id="6" name="Spectral vs COSA-P %"/>
    <x:tableColumn id="7" name="F Win Rate"/>
    <x:tableColumn id="8" name="P Win Rate"/>
    <x:tableColumn id="9" name="Spectral&gt;F Win Rate"/>
    <x:tableColumn id="10" name="Spectral&gt;P Win Rate"/>
  </x:tableColumns>
  <x:tableStyleInfo name="TableStyleMedium2" showRowStripes="1"/>
</x:table>
</file>

<file path=xl/tables/table3.xml><?xml version="1.0" encoding="utf-8"?>
<x:table xmlns:x="http://schemas.openxmlformats.org/spreadsheetml/2006/main" id="3" name="ByDatasetTable" displayName="ByDatasetTable" ref="A1:J9" headerRowCount="1">
  <x:autoFilter ref="A1:J9"/>
  <x:tableColumns count="10">
    <x:tableColumn id="1" name="Dataset"/>
    <x:tableColumn id="2" name="N"/>
    <x:tableColumn id="3" name="COSA-F vs Baseline %"/>
    <x:tableColumn id="4" name="COSA-P vs Baseline %"/>
    <x:tableColumn id="5" name="Spectral vs COSA-F %"/>
    <x:tableColumn id="6" name="Spectral vs COSA-P %"/>
    <x:tableColumn id="7" name="F Win Rate"/>
    <x:tableColumn id="8" name="P Win Rate"/>
    <x:tableColumn id="9" name="Spectral&gt;F Win Rate"/>
    <x:tableColumn id="10" name="Spectral&gt;P Win Rate"/>
  </x:tableColumns>
  <x:tableStyleInfo name="TableStyleMedium2" showRowStripes="1"/>
</x:table>
</file>

<file path=xl/tables/table4.xml><?xml version="1.0" encoding="utf-8"?>
<x:table xmlns:x="http://schemas.openxmlformats.org/spreadsheetml/2006/main" id="4" name="G1_F_vs_BaseTable" displayName="G1_F_vs_BaseTable" ref="A1:J172" headerRowCount="1">
  <x:autoFilter ref="A1:J172"/>
  <x:tableColumns count="10">
    <x:tableColumn id="1" name="Model"/>
    <x:tableColumn id="2" name="Dataset"/>
    <x:tableColumn id="3" name="Horizon"/>
    <x:tableColumn id="4" name="From"/>
    <x:tableColumn id="5" name="To"/>
    <x:tableColumn id="6" name="From MSE"/>
    <x:tableColumn id="7" name="To MSE"/>
    <x:tableColumn id="8" name="Abs Drop"/>
    <x:tableColumn id="9" name="% Improvement"/>
    <x:tableColumn id="10" name="Improved?"/>
  </x:tableColumns>
  <x:tableStyleInfo name="TableStyleMedium2" showRowStripes="1"/>
</x:table>
</file>

<file path=xl/tables/table5.xml><?xml version="1.0" encoding="utf-8"?>
<x:table xmlns:x="http://schemas.openxmlformats.org/spreadsheetml/2006/main" id="5" name="G2_P_vs_BaseTable" displayName="G2_P_vs_BaseTable" ref="A1:J172" headerRowCount="1">
  <x:autoFilter ref="A1:J172"/>
  <x:tableColumns count="10">
    <x:tableColumn id="1" name="Model"/>
    <x:tableColumn id="2" name="Dataset"/>
    <x:tableColumn id="3" name="Horizon"/>
    <x:tableColumn id="4" name="From"/>
    <x:tableColumn id="5" name="To"/>
    <x:tableColumn id="6" name="From MSE"/>
    <x:tableColumn id="7" name="To MSE"/>
    <x:tableColumn id="8" name="Abs Drop"/>
    <x:tableColumn id="9" name="% Improvement"/>
    <x:tableColumn id="10" name="Improved?"/>
  </x:tableColumns>
  <x:tableStyleInfo name="TableStyleMedium2" showRowStripes="1"/>
</x:table>
</file>

<file path=xl/tables/table6.xml><?xml version="1.0" encoding="utf-8"?>
<x:table xmlns:x="http://schemas.openxmlformats.org/spreadsheetml/2006/main" id="6" name="G3_Spec_vs_FTable" displayName="G3_Spec_vs_FTable" ref="A1:J172" headerRowCount="1">
  <x:autoFilter ref="A1:J172"/>
  <x:tableColumns count="10">
    <x:tableColumn id="1" name="Model"/>
    <x:tableColumn id="2" name="Dataset"/>
    <x:tableColumn id="3" name="Horizon"/>
    <x:tableColumn id="4" name="From"/>
    <x:tableColumn id="5" name="To"/>
    <x:tableColumn id="6" name="From MSE"/>
    <x:tableColumn id="7" name="To MSE"/>
    <x:tableColumn id="8" name="Abs Drop"/>
    <x:tableColumn id="9" name="% Improvement"/>
    <x:tableColumn id="10" name="Improved?"/>
  </x:tableColumns>
  <x:tableStyleInfo name="TableStyleMedium2" showRowStripes="1"/>
</x:table>
</file>

<file path=xl/tables/table7.xml><?xml version="1.0" encoding="utf-8"?>
<x:table xmlns:x="http://schemas.openxmlformats.org/spreadsheetml/2006/main" id="7" name="G4_Spec_vs_PTable" displayName="G4_Spec_vs_PTable" ref="A1:J172" headerRowCount="1">
  <x:autoFilter ref="A1:J172"/>
  <x:tableColumns count="10">
    <x:tableColumn id="1" name="Model"/>
    <x:tableColumn id="2" name="Dataset"/>
    <x:tableColumn id="3" name="Horizon"/>
    <x:tableColumn id="4" name="From"/>
    <x:tableColumn id="5" name="To"/>
    <x:tableColumn id="6" name="From MSE"/>
    <x:tableColumn id="7" name="To MSE"/>
    <x:tableColumn id="8" name="Abs Drop"/>
    <x:tableColumn id="9" name="% Improvement"/>
    <x:tableColumn id="10" name="Improved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1f5237d7f848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e47f318b5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eb428f94c34d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016467205940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66572de6d74e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13589e44c241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6ac46825aa4b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39178e32e441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0.5600004196167" hidden="0" customWidth="1"/>
    <x:col min="3" max="3" width="10.5600004196167" hidden="0" customWidth="1"/>
    <x:col min="4" max="4" width="7.78000020980835" hidden="0" customWidth="1"/>
    <x:col min="5" max="5" width="11.670000076293945" hidden="0" customWidth="1"/>
    <x:col min="6" max="6" width="13.890000343322754" hidden="0" customWidth="1"/>
    <x:col min="7" max="7" width="12.220000267028809" hidden="0" customWidth="1"/>
    <x:col min="8" max="8" width="9.4399995803833" hidden="0" customWidth="1"/>
    <x:col min="9" max="9" width="11.670000076293945" hidden="0" customWidth="1"/>
    <x:col min="10" max="10" width="26.110000610351562" hidden="0" customWidth="1"/>
  </x:cols>
  <x:sheetData>
    <x:row r="1">
      <x:c r="A1" s="2" t="str">
        <x:v>Paper8 Test MSE Improvement Analysis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t="str">
        <x:v>Source: paper8_full_comparison_averaged.csv. Metric: test_mse_mean. Positive drop / positive percentage means the later method has lower MSE.</x:v>
      </x:c>
    </x:row>
    <x:row r="4">
      <x:c r="A4" s="3" t="str">
        <x:v>Comparison</x:v>
      </x:c>
      <x:c r="B4" s="3" t="str">
        <x:v>From</x:v>
      </x:c>
      <x:c r="C4" s="3" t="str">
        <x:v>To</x:v>
      </x:c>
      <x:c r="D4" s="3" t="str">
        <x:v>N</x:v>
      </x:c>
      <x:c r="E4" s="3" t="str">
        <x:v>Avg Abs Drop</x:v>
      </x:c>
      <x:c r="F4" s="3" t="str">
        <x:v>Avg % Improvement</x:v>
      </x:c>
      <x:c r="G4" s="3" t="str">
        <x:v>Improved Cases</x:v>
      </x:c>
      <x:c r="H4" s="3" t="str">
        <x:v>Win Rate</x:v>
      </x:c>
      <x:c r="I4" s="3" t="str">
        <x:v>Negative Cases</x:v>
      </x:c>
      <x:c r="J4" s="3" t="str">
        <x:v>Formula</x:v>
      </x:c>
    </x:row>
    <x:row r="5">
      <x:c r="A5" t="str">
        <x:v>COSA-F vs Baseline</x:v>
      </x:c>
      <x:c r="B5" t="str">
        <x:v>Baseline</x:v>
      </x:c>
      <x:c r="C5" t="str">
        <x:v>COSA-F</x:v>
      </x:c>
      <x:c r="D5" s="6" t="n">
        <x:f>COUNT(Detail_All!H2:H172)</x:f>
        <x:v>171</x:v>
      </x:c>
      <x:c r="E5" s="4" t="n">
        <x:f>AVERAGE(Detail_All!H2:H172)</x:f>
        <x:v>0.037427781449191524</x:v>
      </x:c>
      <x:c r="F5" s="5" t="n">
        <x:f>AVERAGE(Detail_All!I2:I172)</x:f>
        <x:v>0.06279869738296634</x:v>
      </x:c>
      <x:c r="G5" t="n">
        <x:f>COUNTIF(Detail_All!H2:H172,"&gt;0")</x:f>
        <x:v>124</x:v>
      </x:c>
      <x:c r="H5" s="5" t="n">
        <x:f>G5/D5</x:f>
        <x:v>0.7251461988304093</x:v>
      </x:c>
      <x:c r="I5" t="n">
        <x:f>COUNTIF(Detail_All!H2:H172,"&lt;0")</x:f>
        <x:v>47</x:v>
      </x:c>
      <x:c r="J5" t="str">
        <x:v>(Baseline - COSA-F) / Baseline</x:v>
      </x:c>
    </x:row>
    <x:row r="6">
      <x:c r="A6" t="str">
        <x:v>COSA-P vs Baseline</x:v>
      </x:c>
      <x:c r="B6" t="str">
        <x:v>Baseline</x:v>
      </x:c>
      <x:c r="C6" t="str">
        <x:v>COSA-P</x:v>
      </x:c>
      <x:c r="D6" s="6" t="n">
        <x:f>COUNT(Detail_All!J2:J172)</x:f>
        <x:v>171</x:v>
      </x:c>
      <x:c r="E6" s="4" t="n">
        <x:f>AVERAGE(Detail_All!J2:J172)</x:f>
        <x:v>0.028287831684708813</x:v>
      </x:c>
      <x:c r="F6" s="5" t="n">
        <x:f>AVERAGE(Detail_All!K2:K172)</x:f>
        <x:v>0.045811723512504156</x:v>
      </x:c>
      <x:c r="G6" t="n">
        <x:f>COUNTIF(Detail_All!J2:J172,"&gt;0")</x:f>
        <x:v>113</x:v>
      </x:c>
      <x:c r="H6" s="5" t="n">
        <x:f>G6/D6</x:f>
        <x:v>0.6608187134502924</x:v>
      </x:c>
      <x:c r="I6" t="n">
        <x:f>COUNTIF(Detail_All!J2:J172,"&lt;0")</x:f>
        <x:v>58</x:v>
      </x:c>
      <x:c r="J6" t="str">
        <x:v>(Baseline - COSA-P) / Baseline</x:v>
      </x:c>
    </x:row>
    <x:row r="7">
      <x:c r="A7" t="str">
        <x:v>Spectral vs COSA-F</x:v>
      </x:c>
      <x:c r="B7" t="str">
        <x:v>COSA-F</x:v>
      </x:c>
      <x:c r="C7" t="str">
        <x:v>Spectral</x:v>
      </x:c>
      <x:c r="D7" s="6" t="n">
        <x:f>COUNT(Detail_All!L2:L172)</x:f>
        <x:v>171</x:v>
      </x:c>
      <x:c r="E7" s="4" t="n">
        <x:f>AVERAGE(Detail_All!L2:L172)</x:f>
        <x:v>0.018683277375516838</x:v>
      </x:c>
      <x:c r="F7" s="5" t="n">
        <x:f>AVERAGE(Detail_All!M2:M172)</x:f>
        <x:v>0.05563704981792542</x:v>
      </x:c>
      <x:c r="G7" t="n">
        <x:f>COUNTIF(Detail_All!L2:L172,"&gt;0")</x:f>
        <x:v>143</x:v>
      </x:c>
      <x:c r="H7" s="5" t="n">
        <x:f>G7/D7</x:f>
        <x:v>0.8362573099415205</x:v>
      </x:c>
      <x:c r="I7" t="n">
        <x:f>COUNTIF(Detail_All!L2:L172,"&lt;0")</x:f>
        <x:v>28</x:v>
      </x:c>
      <x:c r="J7" t="str">
        <x:v>(COSA-F - Spectral) / COSA-F</x:v>
      </x:c>
    </x:row>
    <x:row r="8">
      <x:c r="A8" t="str">
        <x:v>Spectral vs COSA-P</x:v>
      </x:c>
      <x:c r="B8" t="str">
        <x:v>COSA-P</x:v>
      </x:c>
      <x:c r="C8" t="str">
        <x:v>Spectral</x:v>
      </x:c>
      <x:c r="D8" s="6" t="n">
        <x:f>COUNT(Detail_All!N2:N172)</x:f>
        <x:v>171</x:v>
      </x:c>
      <x:c r="E8" s="4" t="n">
        <x:f>AVERAGE(Detail_All!N2:N172)</x:f>
        <x:v>0.02782322713999953</x:v>
      </x:c>
      <x:c r="F8" s="5" t="n">
        <x:f>AVERAGE(Detail_All!O2:O172)</x:f>
        <x:v>0.0746768047500452</x:v>
      </x:c>
      <x:c r="G8" t="n">
        <x:f>COUNTIF(Detail_All!N2:N172,"&gt;0")</x:f>
        <x:v>127</x:v>
      </x:c>
      <x:c r="H8" s="5" t="n">
        <x:f>G8/D8</x:f>
        <x:v>0.7426900584795322</x:v>
      </x:c>
      <x:c r="I8" t="n">
        <x:f>COUNTIF(Detail_All!N2:N172,"&lt;0")</x:f>
        <x:v>44</x:v>
      </x:c>
      <x:c r="J8" t="str">
        <x:v>(COSA-P - Spectral) / COSA-P</x:v>
      </x:c>
    </x:row>
    <x:row r="11">
      <x:c r="A11" s="3" t="str">
        <x:v>Comparison</x:v>
      </x:c>
      <x:c r="B11" s="3" t="str">
        <x:v>Avg % Improvement</x:v>
      </x:c>
      <x:c r="C11" s="3" t="str">
        <x:v>Win Rate</x:v>
      </x:c>
    </x:row>
    <x:row r="12">
      <x:c r="A12" t="str">
        <x:f>A5</x:f>
        <x:v>COSA-F vs Baseline</x:v>
      </x:c>
      <x:c r="B12" s="5" t="n">
        <x:f>F5</x:f>
        <x:v>0.06279869738296634</x:v>
      </x:c>
      <x:c r="C12" s="5" t="n">
        <x:f>H5</x:f>
        <x:v>0.7251461988304093</x:v>
      </x:c>
    </x:row>
    <x:row r="13">
      <x:c r="A13" t="str">
        <x:f>A6</x:f>
        <x:v>COSA-P vs Baseline</x:v>
      </x:c>
      <x:c r="B13" s="5" t="n">
        <x:f>F6</x:f>
        <x:v>0.045811723512504156</x:v>
      </x:c>
      <x:c r="C13" s="5" t="n">
        <x:f>H6</x:f>
        <x:v>0.6608187134502924</x:v>
      </x:c>
    </x:row>
    <x:row r="14">
      <x:c r="A14" t="str">
        <x:f>A7</x:f>
        <x:v>Spectral vs COSA-F</x:v>
      </x:c>
      <x:c r="B14" s="5" t="n">
        <x:f>F7</x:f>
        <x:v>0.05563704981792542</x:v>
      </x:c>
      <x:c r="C14" s="5" t="n">
        <x:f>H7</x:f>
        <x:v>0.8362573099415205</x:v>
      </x:c>
    </x:row>
    <x:row r="15">
      <x:c r="A15" t="str">
        <x:f>A8</x:f>
        <x:v>Spectral vs COSA-P</x:v>
      </x:c>
      <x:c r="B15" s="5" t="n">
        <x:f>F8</x:f>
        <x:v>0.0746768047500452</x:v>
      </x:c>
      <x:c r="C15" s="5" t="n">
        <x:f>H8</x:f>
        <x:v>0.7426900584795322</x:v>
      </x:c>
    </x:row>
    <x:row r="30">
      <x:c r="A30" t="str">
        <x:v>Use Detail_All for all four comparisons side by side; use G1-G4 sheets when you need one comparison group at a time.</x:v>
      </x:c>
    </x:row>
  </x:sheetData>
  <x:mergeCells>
    <x:mergeCell ref="A1:J1"/>
    <x:mergeCell ref="A2:J2"/>
    <x:mergeCell ref="A30:J30"/>
  </x:mergeCells>
  <x:conditionalFormatting sqref="E5:F8">
    <x:cfRule type="cellIs" dxfId="16" priority="1" operator="greaterThan">
      <x:formula>0</x:formula>
    </x:cfRule>
    <x:cfRule type="cellIs" dxfId="17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11f5237d7f848a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2.220000267028809" hidden="0" customWidth="1"/>
    <x:col min="3" max="3" width="8.890000343322754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5.5600004196167" hidden="0" customWidth="1"/>
    <x:col min="9" max="9" width="12.779999732971191" hidden="0" customWidth="1"/>
    <x:col min="10" max="10" width="15.5600004196167" hidden="0" customWidth="1"/>
    <x:col min="11" max="11" width="12.779999732971191" hidden="0" customWidth="1"/>
    <x:col min="12" max="12" width="16.110000610351562" hidden="0" customWidth="1"/>
    <x:col min="13" max="13" width="12.779999732971191" hidden="0" customWidth="1"/>
    <x:col min="14" max="14" width="16.110000610351562" hidden="0" customWidth="1"/>
    <x:col min="15" max="15" width="12.779999732971191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</x:cols>
  <x:sheetData>
    <x:row r="1">
      <x:c r="A1" s="3" t="str">
        <x:v>Model</x:v>
      </x:c>
      <x:c r="B1" s="3" t="str">
        <x:v>Dataset</x:v>
      </x:c>
      <x:c r="C1" s="3" t="str">
        <x:v>Horizon</x:v>
      </x:c>
      <x:c r="D1" s="3" t="str">
        <x:v>Baseline MSE</x:v>
      </x:c>
      <x:c r="E1" s="3" t="str">
        <x:v>COSA-F MSE</x:v>
      </x:c>
      <x:c r="F1" s="3" t="str">
        <x:v>COSA-P MSE</x:v>
      </x:c>
      <x:c r="G1" s="3" t="str">
        <x:v>Spectral MSE</x:v>
      </x:c>
      <x:c r="H1" s="3" t="str">
        <x:v>COSA-F vs Baseline Abs Drop</x:v>
      </x:c>
      <x:c r="I1" s="3" t="str">
        <x:v>COSA-F vs Baseline %</x:v>
      </x:c>
      <x:c r="J1" s="3" t="str">
        <x:v>COSA-P vs Baseline Abs Drop</x:v>
      </x:c>
      <x:c r="K1" s="3" t="str">
        <x:v>COSA-P vs Baseline %</x:v>
      </x:c>
      <x:c r="L1" s="3" t="str">
        <x:v>Spectral vs COSA-F Abs Drop</x:v>
      </x:c>
      <x:c r="M1" s="3" t="str">
        <x:v>Spectral vs COSA-F %</x:v>
      </x:c>
      <x:c r="N1" s="3" t="str">
        <x:v>Spectral vs COSA-P Abs Drop</x:v>
      </x:c>
      <x:c r="O1" s="3" t="str">
        <x:v>Spectral vs COSA-P %</x:v>
      </x:c>
      <x:c r="P1" s="3" t="str">
        <x:v>Baseline Seeds</x:v>
      </x:c>
      <x:c r="Q1" s="3" t="str">
        <x:v>COSA-F Seeds</x:v>
      </x:c>
      <x:c r="R1" s="3" t="str">
        <x:v>COSA-P Seeds</x:v>
      </x:c>
      <x:c r="S1" s="3" t="str">
        <x:v>Spectral Seeds</x:v>
      </x:c>
    </x:row>
    <x:row r="2">
      <x:c r="A2" t="str">
        <x:v>iTransformer</x:v>
      </x:c>
      <x:c r="B2" t="str">
        <x:v>ETTh1</x:v>
      </x:c>
      <x:c r="C2" t="n">
        <x:v>96</x:v>
      </x:c>
      <x:c r="D2" s="4" t="n">
        <x:v>0.4498666666666667</x:v>
      </x:c>
      <x:c r="E2" s="4" t="n">
        <x:v>0.42607852816581726</x:v>
      </x:c>
      <x:c r="F2" s="4" t="n">
        <x:v>0.4310751756032308</x:v>
      </x:c>
      <x:c r="G2" s="4" t="n">
        <x:v>0.41234559814135235</x:v>
      </x:c>
      <x:c r="H2" s="4" t="n">
        <x:f>IF(OR(D2="",E2=""),"",D2-E2)</x:f>
        <x:v>0.02378813850084943</x:v>
      </x:c>
      <x:c r="I2" s="5" t="n">
        <x:f>IFERROR(H2/D2,"")</x:f>
        <x:v>0.05287819761599607</x:v>
      </x:c>
      <x:c r="J2" s="4" t="n">
        <x:f>IF(OR(D2="",F2=""),"",D2-F2)</x:f>
        <x:v>0.018791491063435917</x:v>
      </x:c>
      <x:c r="K2" s="5" t="n">
        <x:f>IFERROR(J2/D2,"")</x:f>
        <x:v>0.041771245695248774</x:v>
      </x:c>
      <x:c r="L2" s="4" t="n">
        <x:f>IF(OR(E2="",G2=""),"",E2-G2)</x:f>
        <x:v>0.013732930024464907</x:v>
      </x:c>
      <x:c r="M2" s="5" t="n">
        <x:f>IFERROR(L2/E2,"")</x:f>
        <x:v>0.032230983531562646</x:v>
      </x:c>
      <x:c r="N2" s="4" t="n">
        <x:f>IF(OR(F2="",G2=""),"",F2-G2)</x:f>
        <x:v>0.01872957746187842</x:v>
      </x:c>
      <x:c r="O2" s="5" t="n">
        <x:f>IFERROR(N2/F2,"")</x:f>
        <x:v>0.04344851784997579</x:v>
      </x:c>
      <x:c r="P2" t="str">
        <x:v>3 seeds: 0 1 2</x:v>
      </x:c>
      <x:c r="Q2" t="str">
        <x:v>3 seeds: 0 1 2</x:v>
      </x:c>
      <x:c r="R2" t="str">
        <x:v>3 seeds: 0 1 2</x:v>
      </x:c>
      <x:c r="S2" t="str">
        <x:v>3 seeds: 0 1 2</x:v>
      </x:c>
    </x:row>
    <x:row r="3">
      <x:c r="A3" t="str">
        <x:v>iTransformer</x:v>
      </x:c>
      <x:c r="B3" t="str">
        <x:v>ETTh1</x:v>
      </x:c>
      <x:c r="C3" t="n">
        <x:v>192</x:v>
      </x:c>
      <x:c r="D3" s="4" t="n">
        <x:v>0.5133</x:v>
      </x:c>
      <x:c r="E3" s="4" t="n">
        <x:v>0.49191297094027203</x:v>
      </x:c>
      <x:c r="F3" s="4" t="n">
        <x:v>0.4975973864396413</x:v>
      </x:c>
      <x:c r="G3" s="4" t="n">
        <x:v>0.4798216025034587</x:v>
      </x:c>
      <x:c r="H3" s="4" t="n">
        <x:f>IF(OR(D3="",E3=""),"",D3-E3)</x:f>
        <x:v>0.021387029059727947</x:v>
      </x:c>
      <x:c r="I3" s="5" t="n">
        <x:f>IFERROR(H3/D3,"")</x:f>
        <x:v>0.04166574919097594</x:v>
      </x:c>
      <x:c r="J3" s="4" t="n">
        <x:f>IF(OR(D3="",F3=""),"",D3-F3)</x:f>
        <x:v>0.01570261356035868</x:v>
      </x:c>
      <x:c r="K3" s="5" t="n">
        <x:f>IFERROR(J3/D3,"")</x:f>
        <x:v>0.03059149339637382</x:v>
      </x:c>
      <x:c r="L3" s="4" t="n">
        <x:f>IF(OR(E3="",G3=""),"",E3-G3)</x:f>
        <x:v>0.012091368436813354</x:v>
      </x:c>
      <x:c r="M3" s="5" t="n">
        <x:f>IFERROR(L3/E3,"")</x:f>
        <x:v>0.02458030007564384</x:v>
      </x:c>
      <x:c r="N3" s="4" t="n">
        <x:f>IF(OR(F3="",G3=""),"",F3-G3)</x:f>
        <x:v>0.01777578393618262</x:v>
      </x:c>
      <x:c r="O3" s="5" t="n">
        <x:f>IFERROR(N3/F3,"")</x:f>
        <x:v>0.03572322608719897</x:v>
      </x:c>
      <x:c r="P3" t="str">
        <x:v>3 seeds: 0 1 2</x:v>
      </x:c>
      <x:c r="Q3" t="str">
        <x:v>3 seeds: 0 1 2</x:v>
      </x:c>
      <x:c r="R3" t="str">
        <x:v>3 seeds: 0 1 2</x:v>
      </x:c>
      <x:c r="S3" t="str">
        <x:v>3 seeds: 0 1 2</x:v>
      </x:c>
    </x:row>
    <x:row r="4">
      <x:c r="A4" t="str">
        <x:v>iTransformer</x:v>
      </x:c>
      <x:c r="B4" t="str">
        <x:v>ETTh1</x:v>
      </x:c>
      <x:c r="C4" t="n">
        <x:v>336</x:v>
      </x:c>
      <x:c r="D4" s="4" t="n">
        <x:v>0.5874</x:v>
      </x:c>
      <x:c r="E4" s="4" t="n">
        <x:v>0.5679084658622742</x:v>
      </x:c>
      <x:c r="F4" s="4" t="n">
        <x:v>0.5291003783543905</x:v>
      </x:c>
      <x:c r="G4" s="4" t="n">
        <x:v>0.5428623755772909</x:v>
      </x:c>
      <x:c r="H4" s="4" t="n">
        <x:f>IF(OR(D4="",E4=""),"",D4-E4)</x:f>
        <x:v>0.019491534137725863</x:v>
      </x:c>
      <x:c r="I4" s="5" t="n">
        <x:f>IFERROR(H4/D4,"")</x:f>
        <x:v>0.033182727507194185</x:v>
      </x:c>
      <x:c r="J4" s="4" t="n">
        <x:f>IF(OR(D4="",F4=""),"",D4-F4)</x:f>
        <x:v>0.058299621645609534</x:v>
      </x:c>
      <x:c r="K4" s="5" t="n">
        <x:f>IFERROR(J4/D4,"")</x:f>
        <x:v>0.09925029221247791</x:v>
      </x:c>
      <x:c r="L4" s="4" t="n">
        <x:f>IF(OR(E4="",G4=""),"",E4-G4)</x:f>
        <x:v>0.02504609028498328</x:v>
      </x:c>
      <x:c r="M4" s="5" t="n">
        <x:f>IFERROR(L4/E4,"")</x:f>
        <x:v>0.04410233653931356</x:v>
      </x:c>
      <x:c r="N4" s="4" t="n">
        <x:f>IF(OR(F4="",G4=""),"",F4-G4)</x:f>
        <x:v>-0.01376199722290039</x:v>
      </x:c>
      <x:c r="O4" s="5" t="n">
        <x:f>IFERROR(N4/F4,"")</x:f>
        <x:v>-0.02601018216184799</x:v>
      </x:c>
      <x:c r="P4" t="str">
        <x:v>3 seeds: 0 1 2</x:v>
      </x:c>
      <x:c r="Q4" t="str">
        <x:v>3 seeds: 0 1 2</x:v>
      </x:c>
      <x:c r="R4" t="str">
        <x:v>3 seeds: 0 1 2</x:v>
      </x:c>
      <x:c r="S4" t="str">
        <x:v>3 seeds: 0 1 2</x:v>
      </x:c>
    </x:row>
    <x:row r="5">
      <x:c r="A5" t="str">
        <x:v>iTransformer</x:v>
      </x:c>
      <x:c r="B5" t="str">
        <x:v>ETTh1</x:v>
      </x:c>
      <x:c r="C5" t="n">
        <x:v>720</x:v>
      </x:c>
      <x:c r="D5" s="4" t="n">
        <x:v>0.7347666666666667</x:v>
      </x:c>
      <x:c r="E5" s="4" t="n">
        <x:v>0.6394924918810526</x:v>
      </x:c>
      <x:c r="F5" s="4" t="n">
        <x:v>0.5776919523874918</x:v>
      </x:c>
      <x:c r="G5" s="4" t="n">
        <x:v>0.5789849956830343</x:v>
      </x:c>
      <x:c r="H5" s="4" t="n">
        <x:f>IF(OR(D5="",E5=""),"",D5-E5)</x:f>
        <x:v>0.09527417478561406</x:v>
      </x:c>
      <x:c r="I5" s="5" t="n">
        <x:f>IFERROR(H5/D5,"")</x:f>
        <x:v>0.12966589137451445</x:v>
      </x:c>
      <x:c r="J5" s="4" t="n">
        <x:f>IF(OR(D5="",F5=""),"",D5-F5)</x:f>
        <x:v>0.15707471427917485</x:v>
      </x:c>
      <x:c r="K5" s="5" t="n">
        <x:f>IFERROR(J5/D5,"")</x:f>
        <x:v>0.21377495932383275</x:v>
      </x:c>
      <x:c r="L5" s="4" t="n">
        <x:f>IF(OR(E5="",G5=""),"",E5-G5)</x:f>
        <x:v>0.06050749619801832</x:v>
      </x:c>
      <x:c r="M5" s="5" t="n">
        <x:f>IFERROR(L5/E5,"")</x:f>
        <x:v>0.09461799312144681</x:v>
      </x:c>
      <x:c r="N5" s="4" t="n">
        <x:f>IF(OR(F5="",G5=""),"",F5-G5)</x:f>
        <x:v>-0.001293043295542473</x:v>
      </x:c>
      <x:c r="O5" s="5" t="n">
        <x:f>IFERROR(N5/F5,"")</x:f>
        <x:v>-0.0022382920347056405</x:v>
      </x:c>
      <x:c r="P5" t="str">
        <x:v>3 seeds: 0 1 2</x:v>
      </x:c>
      <x:c r="Q5" t="str">
        <x:v>3 seeds: 0 1 2</x:v>
      </x:c>
      <x:c r="R5" t="str">
        <x:v>3 seeds: 0 1 2</x:v>
      </x:c>
      <x:c r="S5" t="str">
        <x:v>3 seeds: 0 1 2</x:v>
      </x:c>
    </x:row>
    <x:row r="6">
      <x:c r="A6" t="str">
        <x:v>iTransformer</x:v>
      </x:c>
      <x:c r="B6" t="str">
        <x:v>ETTh2</x:v>
      </x:c>
      <x:c r="C6" t="n">
        <x:v>96</x:v>
      </x:c>
      <x:c r="D6" s="4" t="n">
        <x:v>0.1981</x:v>
      </x:c>
      <x:c r="E6" s="4" t="n">
        <x:v>0.1981868545214335</x:v>
      </x:c>
      <x:c r="F6" s="4" t="n">
        <x:v>0.19362633923689523</x:v>
      </x:c>
      <x:c r="G6" s="4" t="n">
        <x:v>0.19697168469429016</x:v>
      </x:c>
      <x:c r="H6" s="4" t="n">
        <x:f>IF(OR(D6="",E6=""),"",D6-E6)</x:f>
        <x:v>-0.0000868545214335048</x:v>
      </x:c>
      <x:c r="I6" s="5" t="n">
        <x:f>IFERROR(H6/D6,"")</x:f>
        <x:v>-0.00043843776594399195</x:v>
      </x:c>
      <x:c r="J6" s="4" t="n">
        <x:f>IF(OR(D6="",F6=""),"",D6-F6)</x:f>
        <x:v>0.004473660763104764</x:v>
      </x:c>
      <x:c r="K6" s="5" t="n">
        <x:f>IFERROR(J6/D6,"")</x:f>
        <x:v>0.022582840803153783</x:v>
      </x:c>
      <x:c r="L6" s="4" t="n">
        <x:f>IF(OR(E6="",G6=""),"",E6-G6)</x:f>
        <x:v>0.001215169827143342</x:v>
      </x:c>
      <x:c r="M6" s="5" t="n">
        <x:f>IFERROR(L6/E6,"")</x:f>
        <x:v>0.006131435054447185</x:v>
      </x:c>
      <x:c r="N6" s="4" t="n">
        <x:f>IF(OR(F6="",G6=""),"",F6-G6)</x:f>
        <x:v>-0.003345345457394927</x:v>
      </x:c>
      <x:c r="O6" s="5" t="n">
        <x:f>IFERROR(N6/F6,"")</x:f>
        <x:v>-0.017277326372947696</x:v>
      </x:c>
      <x:c r="P6" t="str">
        <x:v>3 seeds: 0 1 2</x:v>
      </x:c>
      <x:c r="Q6" t="str">
        <x:v>3 seeds: 0 1 2</x:v>
      </x:c>
      <x:c r="R6" t="str">
        <x:v>3 seeds: 0 1 2</x:v>
      </x:c>
      <x:c r="S6" t="str">
        <x:v>3 seeds: 0 1 2</x:v>
      </x:c>
    </x:row>
    <x:row r="7">
      <x:c r="A7" t="str">
        <x:v>iTransformer</x:v>
      </x:c>
      <x:c r="B7" t="str">
        <x:v>ETTh2</x:v>
      </x:c>
      <x:c r="C7" t="n">
        <x:v>192</x:v>
      </x:c>
      <x:c r="D7" s="4" t="n">
        <x:v>0.2417</x:v>
      </x:c>
      <x:c r="E7" s="4" t="n">
        <x:v>0.24355138838291168</x:v>
      </x:c>
      <x:c r="F7" s="4" t="n">
        <x:v>0.24823777377605438</x:v>
      </x:c>
      <x:c r="G7" s="4" t="n">
        <x:v>0.2499858389298121</x:v>
      </x:c>
      <x:c r="H7" s="4" t="n">
        <x:f>IF(OR(D7="",E7=""),"",D7-E7)</x:f>
        <x:v>-0.001851388382911684</x:v>
      </x:c>
      <x:c r="I7" s="5" t="n">
        <x:f>IFERROR(H7/D7,"")</x:f>
        <x:v>-0.007659860913991245</x:v>
      </x:c>
      <x:c r="J7" s="4" t="n">
        <x:f>IF(OR(D7="",F7=""),"",D7-F7)</x:f>
        <x:v>-0.006537773776054384</x:v>
      </x:c>
      <x:c r="K7" s="5" t="n">
        <x:f>IFERROR(J7/D7,"")</x:f>
        <x:v>-0.027049126090419463</x:v>
      </x:c>
      <x:c r="L7" s="4" t="n">
        <x:f>IF(OR(E7="",G7=""),"",E7-G7)</x:f>
        <x:v>-0.006434450546900422</x:v>
      </x:c>
      <x:c r="M7" s="5" t="n">
        <x:f>IFERROR(L7/E7,"")</x:f>
        <x:v>-0.026419272703073957</x:v>
      </x:c>
      <x:c r="N7" s="4" t="n">
        <x:f>IF(OR(F7="",G7=""),"",F7-G7)</x:f>
        <x:v>-0.0017480651537577219</x:v>
      </x:c>
      <x:c r="O7" s="5" t="n">
        <x:f>IFERROR(N7/F7,"")</x:f>
        <x:v>-0.007041898286337051</x:v>
      </x:c>
      <x:c r="P7" t="str">
        <x:v>3 seeds: 0 1 2</x:v>
      </x:c>
      <x:c r="Q7" t="str">
        <x:v>3 seeds: 0 1 2</x:v>
      </x:c>
      <x:c r="R7" t="str">
        <x:v>3 seeds: 0 1 2</x:v>
      </x:c>
      <x:c r="S7" t="str">
        <x:v>3 seeds: 0 1 2</x:v>
      </x:c>
    </x:row>
    <x:row r="8">
      <x:c r="A8" t="str">
        <x:v>iTransformer</x:v>
      </x:c>
      <x:c r="B8" t="str">
        <x:v>ETTh2</x:v>
      </x:c>
      <x:c r="C8" t="n">
        <x:v>336</x:v>
      </x:c>
      <x:c r="D8" s="4" t="n">
        <x:v>0.2671</x:v>
      </x:c>
      <x:c r="E8" s="4" t="n">
        <x:v>0.2575531204541524</x:v>
      </x:c>
      <x:c r="F8" s="4" t="n">
        <x:v>0.2628502945105235</x:v>
      </x:c>
      <x:c r="G8" s="4" t="n">
        <x:v>0.2626849114894867</x:v>
      </x:c>
      <x:c r="H8" s="4" t="n">
        <x:f>IF(OR(D8="",E8=""),"",D8-E8)</x:f>
        <x:v>0.009546879545847597</x:v>
      </x:c>
      <x:c r="I8" s="5" t="n">
        <x:f>IFERROR(H8/D8,"")</x:f>
        <x:v>0.035742716382806426</x:v>
      </x:c>
      <x:c r="J8" s="4" t="n">
        <x:f>IF(OR(D8="",F8=""),"",D8-F8)</x:f>
        <x:v>0.004249705489476507</x:v>
      </x:c>
      <x:c r="K8" s="5" t="n">
        <x:f>IFERROR(J8/D8,"")</x:f>
        <x:v>0.01591054095648262</x:v>
      </x:c>
      <x:c r="L8" s="4" t="n">
        <x:f>IF(OR(E8="",G8=""),"",E8-G8)</x:f>
        <x:v>-0.005131791035334288</x:v>
      </x:c>
      <x:c r="M8" s="5" t="n">
        <x:f>IFERROR(L8/E8,"")</x:f>
        <x:v>-0.019925175149441875</x:v>
      </x:c>
      <x:c r="N8" s="4" t="n">
        <x:f>IF(OR(F8="",G8=""),"",F8-G8)</x:f>
        <x:v>0.00016538302103680236</x:v>
      </x:c>
      <x:c r="O8" s="5" t="n">
        <x:f>IFERROR(N8/F8,"")</x:f>
        <x:v>0.0006291909291742531</x:v>
      </x:c>
      <x:c r="P8" t="str">
        <x:v>3 seeds: 0 1 2</x:v>
      </x:c>
      <x:c r="Q8" t="str">
        <x:v>3 seeds: 0 1 2</x:v>
      </x:c>
      <x:c r="R8" t="str">
        <x:v>3 seeds: 0 1 2</x:v>
      </x:c>
      <x:c r="S8" t="str">
        <x:v>3 seeds: 0 1 2</x:v>
      </x:c>
    </x:row>
    <x:row r="9">
      <x:c r="A9" t="str">
        <x:v>iTransformer</x:v>
      </x:c>
      <x:c r="B9" t="str">
        <x:v>ETTh2</x:v>
      </x:c>
      <x:c r="C9" t="n">
        <x:v>720</x:v>
      </x:c>
      <x:c r="D9" s="4" t="n">
        <x:v>0.3339666666666667</x:v>
      </x:c>
      <x:c r="E9" s="4" t="n">
        <x:v>0.2856131891409556</x:v>
      </x:c>
      <x:c r="F9" s="4" t="n">
        <x:v>0.2868092656135559</x:v>
      </x:c>
      <x:c r="G9" s="4" t="n">
        <x:v>0.2872478167215983</x:v>
      </x:c>
      <x:c r="H9" s="4" t="n">
        <x:f>IF(OR(D9="",E9=""),"",D9-E9)</x:f>
        <x:v>0.048353477525711064</x:v>
      </x:c>
      <x:c r="I9" s="5" t="n">
        <x:f>IFERROR(H9/D9,"")</x:f>
        <x:v>0.14478534043031557</x:v>
      </x:c>
      <x:c r="J9" s="4" t="n">
        <x:f>IF(OR(D9="",F9=""),"",D9-F9)</x:f>
        <x:v>0.04715740105311078</x:v>
      </x:c>
      <x:c r="K9" s="5" t="n">
        <x:f>IFERROR(J9/D9,"")</x:f>
        <x:v>0.14120391571946536</x:v>
      </x:c>
      <x:c r="L9" s="4" t="n">
        <x:f>IF(OR(E9="",G9=""),"",E9-G9)</x:f>
        <x:v>-0.0016346275806427002</x:v>
      </x:c>
      <x:c r="M9" s="5" t="n">
        <x:f>IFERROR(L9/E9,"")</x:f>
        <x:v>-0.005723221625581093</x:v>
      </x:c>
      <x:c r="N9" s="4" t="n">
        <x:f>IF(OR(F9="",G9=""),"",F9-G9)</x:f>
        <x:v>-0.0004385511080424176</x:v>
      </x:c>
      <x:c r="O9" s="5" t="n">
        <x:f>IFERROR(N9/F9,"")</x:f>
        <x:v>-0.0015290688294335554</x:v>
      </x:c>
      <x:c r="P9" t="str">
        <x:v>3 seeds: 0 1 2</x:v>
      </x:c>
      <x:c r="Q9" t="str">
        <x:v>3 seeds: 0 1 2</x:v>
      </x:c>
      <x:c r="R9" t="str">
        <x:v>3 seeds: 0 1 2</x:v>
      </x:c>
      <x:c r="S9" t="str">
        <x:v>3 seeds: 0 1 2</x:v>
      </x:c>
    </x:row>
    <x:row r="10">
      <x:c r="A10" t="str">
        <x:v>iTransformer</x:v>
      </x:c>
      <x:c r="B10" t="str">
        <x:v>ETTm1</x:v>
      </x:c>
      <x:c r="C10" t="n">
        <x:v>96</x:v>
      </x:c>
      <x:c r="D10" s="4" t="n">
        <x:v>0.39953333333333335</x:v>
      </x:c>
      <x:c r="E10" s="4" t="n">
        <x:v>0.3563259343306224</x:v>
      </x:c>
      <x:c r="F10" s="4" t="n">
        <x:v>0.35371846954027814</x:v>
      </x:c>
      <x:c r="G10" s="4" t="n">
        <x:v>0.3443148334821065</x:v>
      </x:c>
      <x:c r="H10" s="4" t="n">
        <x:f>IF(OR(D10="",E10=""),"",D10-E10)</x:f>
        <x:v>0.04320739900271098</x:v>
      </x:c>
      <x:c r="I10" s="5" t="n">
        <x:f>IFERROR(H10/D10,"")</x:f>
        <x:v>0.1081446662841089</x:v>
      </x:c>
      <x:c r="J10" s="4" t="n">
        <x:f>IF(OR(D10="",F10=""),"",D10-F10)</x:f>
        <x:v>0.045814863793055216</x:v>
      </x:c>
      <x:c r="K10" s="5" t="n">
        <x:f>IFERROR(J10/D10,"")</x:f>
        <x:v>0.11467094224859473</x:v>
      </x:c>
      <x:c r="L10" s="4" t="n">
        <x:f>IF(OR(E10="",G10=""),"",E10-G10)</x:f>
        <x:v>0.012011100848515865</x:v>
      </x:c>
      <x:c r="M10" s="5" t="n">
        <x:f>IFERROR(L10/E10,"")</x:f>
        <x:v>0.0337081859367867</x:v>
      </x:c>
      <x:c r="N10" s="4" t="n">
        <x:f>IF(OR(F10="",G10=""),"",F10-G10)</x:f>
        <x:v>0.009403636058171627</x:v>
      </x:c>
      <x:c r="O10" s="5" t="n">
        <x:f>IFERROR(N10/F10,"")</x:f>
        <x:v>0.02658508635524001</x:v>
      </x:c>
      <x:c r="P10" t="str">
        <x:v>3 seeds: 0 1 2</x:v>
      </x:c>
      <x:c r="Q10" t="str">
        <x:v>3 seeds: 0 1 2</x:v>
      </x:c>
      <x:c r="R10" t="str">
        <x:v>3 seeds: 0 1 2</x:v>
      </x:c>
      <x:c r="S10" t="str">
        <x:v>3 seeds: 0 1 2</x:v>
      </x:c>
    </x:row>
    <x:row r="11">
      <x:c r="A11" t="str">
        <x:v>iTransformer</x:v>
      </x:c>
      <x:c r="B11" t="str">
        <x:v>ETTm1</x:v>
      </x:c>
      <x:c r="C11" t="n">
        <x:v>192</x:v>
      </x:c>
      <x:c r="D11" s="4" t="n">
        <x:v>0.4421333333333333</x:v>
      </x:c>
      <x:c r="E11" s="4" t="n">
        <x:v>0.42378686865170795</x:v>
      </x:c>
      <x:c r="F11" s="4" t="n">
        <x:v>0.41644007960955304</x:v>
      </x:c>
      <x:c r="G11" s="4" t="n">
        <x:v>0.4056560794512431</x:v>
      </x:c>
      <x:c r="H11" s="4" t="n">
        <x:f>IF(OR(D11="",E11=""),"",D11-E11)</x:f>
        <x:v>0.018346464681625374</x:v>
      </x:c>
      <x:c r="I11" s="5" t="n">
        <x:f>IFERROR(H11/D11,"")</x:f>
        <x:v>0.04149532120391746</x:v>
      </x:c>
      <x:c r="J11" s="4" t="n">
        <x:f>IF(OR(D11="",F11=""),"",D11-F11)</x:f>
        <x:v>0.025693253723780285</x:v>
      </x:c>
      <x:c r="K11" s="5" t="n">
        <x:f>IFERROR(J11/D11,"")</x:f>
        <x:v>0.058112003295642985</x:v>
      </x:c>
      <x:c r="L11" s="4" t="n">
        <x:f>IF(OR(E11="",G11=""),"",E11-G11)</x:f>
        <x:v>0.018130789200464847</x:v>
      </x:c>
      <x:c r="M11" s="5" t="n">
        <x:f>IFERROR(L11/E11,"")</x:f>
        <x:v>0.04278280084078244</x:v>
      </x:c>
      <x:c r="N11" s="4" t="n">
        <x:f>IF(OR(F11="",G11=""),"",F11-G11)</x:f>
        <x:v>0.010784000158309937</x:v>
      </x:c>
      <x:c r="O11" s="5" t="n">
        <x:f>IFERROR(N11/F11,"")</x:f>
        <x:v>0.0258956826836188</x:v>
      </x:c>
      <x:c r="P11" t="str">
        <x:v>3 seeds: 0 1 2</x:v>
      </x:c>
      <x:c r="Q11" t="str">
        <x:v>3 seeds: 0 1 2</x:v>
      </x:c>
      <x:c r="R11" t="str">
        <x:v>3 seeds: 0 1 2</x:v>
      </x:c>
      <x:c r="S11" t="str">
        <x:v>3 seeds: 0 1 2</x:v>
      </x:c>
    </x:row>
    <x:row r="12">
      <x:c r="A12" t="str">
        <x:v>iTransformer</x:v>
      </x:c>
      <x:c r="B12" t="str">
        <x:v>ETTm1</x:v>
      </x:c>
      <x:c r="C12" t="n">
        <x:v>336</x:v>
      </x:c>
      <x:c r="D12" s="4" t="n">
        <x:v>0.5099</x:v>
      </x:c>
      <x:c r="E12" s="4" t="n">
        <x:v>0.4945196807384491</x:v>
      </x:c>
      <x:c r="F12" s="4" t="n">
        <x:v>0.49512170751889545</x:v>
      </x:c>
      <x:c r="G12" s="4" t="n">
        <x:v>0.4609619081020355</x:v>
      </x:c>
      <x:c r="H12" s="4" t="n">
        <x:f>IF(OR(D12="",E12=""),"",D12-E12)</x:f>
        <x:v>0.015380319261550923</x:v>
      </x:c>
      <x:c r="I12" s="5" t="n">
        <x:f>IFERROR(H12/D12,"")</x:f>
        <x:v>0.03016340314091179</x:v>
      </x:c>
      <x:c r="J12" s="4" t="n">
        <x:f>IF(OR(D12="",F12=""),"",D12-F12)</x:f>
        <x:v>0.014778292481104571</x:v>
      </x:c>
      <x:c r="K12" s="5" t="n">
        <x:f>IFERROR(J12/D12,"")</x:f>
        <x:v>0.02898272696823803</x:v>
      </x:c>
      <x:c r="L12" s="4" t="n">
        <x:f>IF(OR(E12="",G12=""),"",E12-G12)</x:f>
        <x:v>0.033557772636413574</x:v>
      </x:c>
      <x:c r="M12" s="5" t="n">
        <x:f>IFERROR(L12/E12,"")</x:f>
        <x:v>0.06785932682457231</x:v>
      </x:c>
      <x:c r="N12" s="4" t="n">
        <x:f>IF(OR(F12="",G12=""),"",F12-G12)</x:f>
        <x:v>0.034159799416859926</x:v>
      </x:c>
      <x:c r="O12" s="5" t="n">
        <x:f>IFERROR(N12/F12,"")</x:f>
        <x:v>0.06899273228806328</x:v>
      </x:c>
      <x:c r="P12" t="str">
        <x:v>3 seeds: 0 1 2</x:v>
      </x:c>
      <x:c r="Q12" t="str">
        <x:v>3 seeds: 0 1 2</x:v>
      </x:c>
      <x:c r="R12" t="str">
        <x:v>3 seeds: 0 1 2</x:v>
      </x:c>
      <x:c r="S12" t="str">
        <x:v>3 seeds: 0 1 2</x:v>
      </x:c>
    </x:row>
    <x:row r="13">
      <x:c r="A13" t="str">
        <x:v>iTransformer</x:v>
      </x:c>
      <x:c r="B13" t="str">
        <x:v>ETTm1</x:v>
      </x:c>
      <x:c r="C13" t="n">
        <x:v>720</x:v>
      </x:c>
      <x:c r="D13" s="4" t="n">
        <x:v>0.6108</x:v>
      </x:c>
      <x:c r="E13" s="4" t="n">
        <x:v>0.5516761740048727</x:v>
      </x:c>
      <x:c r="F13" s="4" t="n">
        <x:v>0.5885899066925049</x:v>
      </x:c>
      <x:c r="G13" s="4" t="n">
        <x:v>0.5031796793142954</x:v>
      </x:c>
      <x:c r="H13" s="4" t="n">
        <x:f>IF(OR(D13="",E13=""),"",D13-E13)</x:f>
        <x:v>0.05912382599512733</x:v>
      </x:c>
      <x:c r="I13" s="5" t="n">
        <x:f>IFERROR(H13/D13,"")</x:f>
        <x:v>0.09679735755587317</x:v>
      </x:c>
      <x:c r="J13" s="4" t="n">
        <x:f>IF(OR(D13="",F13=""),"",D13-F13)</x:f>
        <x:v>0.022210093307495127</x:v>
      </x:c>
      <x:c r="K13" s="5" t="n">
        <x:f>IFERROR(J13/D13,"")</x:f>
        <x:v>0.036362300765381675</x:v>
      </x:c>
      <x:c r="L13" s="4" t="n">
        <x:f>IF(OR(E13="",G13=""),"",E13-G13)</x:f>
        <x:v>0.04849649469057726</x:v>
      </x:c>
      <x:c r="M13" s="5" t="n">
        <x:f>IFERROR(L13/E13,"")</x:f>
        <x:v>0.0879075388348182</x:v>
      </x:c>
      <x:c r="N13" s="4" t="n">
        <x:f>IF(OR(F13="",G13=""),"",F13-G13)</x:f>
        <x:v>0.08541022737820947</x:v>
      </x:c>
      <x:c r="O13" s="5" t="n">
        <x:f>IFERROR(N13/F13,"")</x:f>
        <x:v>0.14510990828599116</x:v>
      </x:c>
      <x:c r="P13" t="str">
        <x:v>3 seeds: 0 1 2</x:v>
      </x:c>
      <x:c r="Q13" t="str">
        <x:v>3 seeds: 0 1 2</x:v>
      </x:c>
      <x:c r="R13" t="str">
        <x:v>3 seeds: 0 1 2</x:v>
      </x:c>
      <x:c r="S13" t="str">
        <x:v>3 seeds: 0 1 2</x:v>
      </x:c>
    </x:row>
    <x:row r="14">
      <x:c r="A14" t="str">
        <x:v>iTransformer</x:v>
      </x:c>
      <x:c r="B14" t="str">
        <x:v>ETTm2</x:v>
      </x:c>
      <x:c r="C14" t="n">
        <x:v>96</x:v>
      </x:c>
      <x:c r="D14" s="4" t="n">
        <x:v>0.1251</x:v>
      </x:c>
      <x:c r="E14" s="4" t="n">
        <x:v>0.12785379588603973</x:v>
      </x:c>
      <x:c r="F14" s="4" t="n">
        <x:v>0.12630697091420492</x:v>
      </x:c>
      <x:c r="G14" s="4" t="n">
        <x:v>0.1295243352651596</x:v>
      </x:c>
      <x:c r="H14" s="4" t="n">
        <x:f>IF(OR(D14="",E14=""),"",D14-E14)</x:f>
        <x:v>-0.002753795886039745</x:v>
      </x:c>
      <x:c r="I14" s="5" t="n">
        <x:f>IFERROR(H14/D14,"")</x:f>
        <x:v>-0.02201275688281171</x:v>
      </x:c>
      <x:c r="J14" s="4" t="n">
        <x:f>IF(OR(D14="",F14=""),"",D14-F14)</x:f>
        <x:v>-0.0012069709142049356</x:v>
      </x:c>
      <x:c r="K14" s="5" t="n">
        <x:f>IFERROR(J14/D14,"")</x:f>
        <x:v>-0.009648048874539855</x:v>
      </x:c>
      <x:c r="L14" s="4" t="n">
        <x:f>IF(OR(E14="",G14=""),"",E14-G14)</x:f>
        <x:v>-0.001670539379119873</x:v>
      </x:c>
      <x:c r="M14" s="5" t="n">
        <x:f>IFERROR(L14/E14,"")</x:f>
        <x:v>-0.013066013156221653</x:v>
      </x:c>
      <x:c r="N14" s="4" t="n">
        <x:f>IF(OR(F14="",G14=""),"",F14-G14)</x:f>
        <x:v>-0.0032173643509546823</x:v>
      </x:c>
      <x:c r="O14" s="5" t="n">
        <x:f>IFERROR(N14/F14,"")</x:f>
        <x:v>-0.025472579444091842</x:v>
      </x:c>
      <x:c r="P14" t="str">
        <x:v>3 seeds: 0 1 2</x:v>
      </x:c>
      <x:c r="Q14" t="str">
        <x:v>3 seeds: 0 1 2</x:v>
      </x:c>
      <x:c r="R14" t="str">
        <x:v>3 seeds: 0 1 2</x:v>
      </x:c>
      <x:c r="S14" t="str">
        <x:v>3 seeds: 0 1 2</x:v>
      </x:c>
    </x:row>
    <x:row r="15">
      <x:c r="A15" t="str">
        <x:v>iTransformer</x:v>
      </x:c>
      <x:c r="B15" t="str">
        <x:v>ETTm2</x:v>
      </x:c>
      <x:c r="C15" t="n">
        <x:v>192</x:v>
      </x:c>
      <x:c r="D15" s="4" t="n">
        <x:v>0.16163333333333332</x:v>
      </x:c>
      <x:c r="E15" s="4" t="n">
        <x:v>0.17514689763387045</x:v>
      </x:c>
      <x:c r="F15" s="4" t="n">
        <x:v>0.16692059735457102</x:v>
      </x:c>
      <x:c r="G15" s="4" t="n">
        <x:v>0.17523622512817383</x:v>
      </x:c>
      <x:c r="H15" s="4" t="n">
        <x:f>IF(OR(D15="",E15=""),"",D15-E15)</x:f>
        <x:v>-0.013513564300537129</x:v>
      </x:c>
      <x:c r="I15" s="5" t="n">
        <x:f>IFERROR(H15/D15,"")</x:f>
        <x:v>-0.0836062959406298</x:v>
      </x:c>
      <x:c r="J15" s="4" t="n">
        <x:f>IF(OR(D15="",F15=""),"",D15-F15)</x:f>
        <x:v>-0.005287264021237692</x:v>
      </x:c>
      <x:c r="K15" s="5" t="n">
        <x:f>IFERROR(J15/D15,"")</x:f>
        <x:v>-0.032711470537663594</x:v>
      </x:c>
      <x:c r="L15" s="4" t="n">
        <x:f>IF(OR(E15="",G15=""),"",E15-G15)</x:f>
        <x:v>-0.00008932749430337616</x:v>
      </x:c>
      <x:c r="M15" s="5" t="n">
        <x:f>IFERROR(L15/E15,"")</x:f>
        <x:v>-0.0005100147105665989</x:v>
      </x:c>
      <x:c r="N15" s="4" t="n">
        <x:f>IF(OR(F15="",G15=""),"",F15-G15)</x:f>
        <x:v>-0.008315627773602813</x:v>
      </x:c>
      <x:c r="O15" s="5" t="n">
        <x:f>IFERROR(N15/F15,"")</x:f>
        <x:v>-0.04981786493334218</x:v>
      </x:c>
      <x:c r="P15" t="str">
        <x:v>3 seeds: 0 1 2</x:v>
      </x:c>
      <x:c r="Q15" t="str">
        <x:v>3 seeds: 0 1 2</x:v>
      </x:c>
      <x:c r="R15" t="str">
        <x:v>3 seeds: 0 1 2</x:v>
      </x:c>
      <x:c r="S15" t="str">
        <x:v>3 seeds: 0 1 2</x:v>
      </x:c>
    </x:row>
    <x:row r="16">
      <x:c r="A16" t="str">
        <x:v>iTransformer</x:v>
      </x:c>
      <x:c r="B16" t="str">
        <x:v>ETTm2</x:v>
      </x:c>
      <x:c r="C16" t="n">
        <x:v>336</x:v>
      </x:c>
      <x:c r="D16" s="4" t="n">
        <x:v>0.20093333333333332</x:v>
      </x:c>
      <x:c r="E16" s="4" t="n">
        <x:v>0.2137297143538793</x:v>
      </x:c>
      <x:c r="F16" s="4" t="n">
        <x:v>0.20988498628139496</x:v>
      </x:c>
      <x:c r="G16" s="4" t="n">
        <x:v>0.19304195046424866</x:v>
      </x:c>
      <x:c r="H16" s="4" t="n">
        <x:f>IF(OR(D16="",E16=""),"",D16-E16)</x:f>
        <x:v>-0.012796381020545977</x:v>
      </x:c>
      <x:c r="I16" s="5" t="n">
        <x:f>IFERROR(H16/D16,"")</x:f>
        <x:v>-0.0636847097903748</x:v>
      </x:c>
      <x:c r="J16" s="4" t="n">
        <x:f>IF(OR(D16="",F16=""),"",D16-F16)</x:f>
        <x:v>-0.008951652948061634</x:v>
      </x:c>
      <x:c r="K16" s="5" t="n">
        <x:f>IFERROR(J16/D16,"")</x:f>
        <x:v>-0.04455036304609307</x:v>
      </x:c>
      <x:c r="L16" s="4" t="n">
        <x:f>IF(OR(E16="",G16=""),"",E16-G16)</x:f>
        <x:v>0.020687763889630645</x:v>
      </x:c>
      <x:c r="M16" s="5" t="n">
        <x:f>IFERROR(L16/E16,"")</x:f>
        <x:v>0.09679404640656206</x:v>
      </x:c>
      <x:c r="N16" s="4" t="n">
        <x:f>IF(OR(F16="",G16=""),"",F16-G16)</x:f>
        <x:v>0.0168430358171463</x:v>
      </x:c>
      <x:c r="O16" s="5" t="n">
        <x:f>IFERROR(N16/F16,"")</x:f>
        <x:v>0.08024888352216232</x:v>
      </x:c>
      <x:c r="P16" t="str">
        <x:v>3 seeds: 0 1 2</x:v>
      </x:c>
      <x:c r="Q16" t="str">
        <x:v>3 seeds: 0 1 2</x:v>
      </x:c>
      <x:c r="R16" t="str">
        <x:v>3 seeds: 0 1 2</x:v>
      </x:c>
      <x:c r="S16" t="str">
        <x:v>3 seeds: 0 1 2</x:v>
      </x:c>
    </x:row>
    <x:row r="17">
      <x:c r="A17" t="str">
        <x:v>iTransformer</x:v>
      </x:c>
      <x:c r="B17" t="str">
        <x:v>ETTm2</x:v>
      </x:c>
      <x:c r="C17" t="n">
        <x:v>720</x:v>
      </x:c>
      <x:c r="D17" s="4" t="n">
        <x:v>0.26203333333333334</x:v>
      </x:c>
      <x:c r="E17" s="4" t="n">
        <x:v>0.23543583353360495</x:v>
      </x:c>
      <x:c r="F17" s="4" t="n">
        <x:v>0.2634797195593516</x:v>
      </x:c>
      <x:c r="G17" s="4" t="n">
        <x:v>0.2019137442111969</x:v>
      </x:c>
      <x:c r="H17" s="4" t="n">
        <x:f>IF(OR(D17="",E17=""),"",D17-E17)</x:f>
        <x:v>0.02659749979972839</x:v>
      </x:c>
      <x:c r="I17" s="5" t="n">
        <x:f>IFERROR(H17/D17,"")</x:f>
        <x:v>0.10150426078003456</x:v>
      </x:c>
      <x:c r="J17" s="4" t="n">
        <x:f>IF(OR(D17="",F17=""),"",D17-F17)</x:f>
        <x:v>-0.0014463862260182814</x:v>
      </x:c>
      <x:c r="K17" s="5" t="n">
        <x:f>IFERROR(J17/D17,"")</x:f>
        <x:v>-0.005519855842837863</x:v>
      </x:c>
      <x:c r="L17" s="4" t="n">
        <x:f>IF(OR(E17="",G17=""),"",E17-G17)</x:f>
        <x:v>0.03352208932240805</x:v>
      </x:c>
      <x:c r="M17" s="5" t="n">
        <x:f>IFERROR(L17/E17,"")</x:f>
        <x:v>0.14238312333038833</x:v>
      </x:c>
      <x:c r="N17" s="4" t="n">
        <x:f>IF(OR(F17="",G17=""),"",F17-G17)</x:f>
        <x:v>0.06156597534815472</x:v>
      </x:c>
      <x:c r="O17" s="5" t="n">
        <x:f>IFERROR(N17/F17,"")</x:f>
        <x:v>0.23366494943564842</x:v>
      </x:c>
      <x:c r="P17" t="str">
        <x:v>3 seeds: 0 1 2</x:v>
      </x:c>
      <x:c r="Q17" t="str">
        <x:v>3 seeds: 0 1 2</x:v>
      </x:c>
      <x:c r="R17" t="str">
        <x:v>3 seeds: 0 1 2</x:v>
      </x:c>
      <x:c r="S17" t="str">
        <x:v>3 seeds: 0 1 2</x:v>
      </x:c>
    </x:row>
    <x:row r="18">
      <x:c r="A18" t="str">
        <x:v>iTransformer</x:v>
      </x:c>
      <x:c r="B18" t="str">
        <x:v>Exchange Rate</x:v>
      </x:c>
      <x:c r="C18" t="n">
        <x:v>96</x:v>
      </x:c>
      <x:c r="D18" s="4" t="n">
        <x:v>0.0927</x:v>
      </x:c>
      <x:c r="E18" s="4" t="n">
        <x:v>0.08934242029984792</x:v>
      </x:c>
      <x:c r="F18" s="4" t="n">
        <x:v>0.08865931381781895</x:v>
      </x:c>
      <x:c r="G18" s="4" t="n">
        <x:v>0.09004731724659602</x:v>
      </x:c>
      <x:c r="H18" s="4" t="n">
        <x:f>IF(OR(D18="",E18=""),"",D18-E18)</x:f>
        <x:v>0.0033575797001520885</x:v>
      </x:c>
      <x:c r="I18" s="5" t="n">
        <x:f>IFERROR(H18/D18,"")</x:f>
        <x:v>0.03621984574058348</x:v>
      </x:c>
      <x:c r="J18" s="4" t="n">
        <x:f>IF(OR(D18="",F18=""),"",D18-F18)</x:f>
        <x:v>0.00404068618218105</x:v>
      </x:c>
      <x:c r="K18" s="5" t="n">
        <x:f>IFERROR(J18/D18,"")</x:f>
        <x:v>0.04358884770421844</x:v>
      </x:c>
      <x:c r="L18" s="4" t="n">
        <x:f>IF(OR(E18="",G18=""),"",E18-G18)</x:f>
        <x:v>-0.000704896946748107</x:v>
      </x:c>
      <x:c r="M18" s="5" t="n">
        <x:f>IFERROR(L18/E18,"")</x:f>
        <x:v>-0.00788983491137084</x:v>
      </x:c>
      <x:c r="N18" s="4" t="n">
        <x:f>IF(OR(F18="",G18=""),"",F18-G18)</x:f>
        <x:v>-0.0013880034287770682</x:v>
      </x:c>
      <x:c r="O18" s="5" t="n">
        <x:f>IFERROR(N18/F18,"")</x:f>
        <x:v>-0.01565547226802588</x:v>
      </x:c>
      <x:c r="P18" t="str">
        <x:v>3 seeds: 0 1 2</x:v>
      </x:c>
      <x:c r="Q18" t="str">
        <x:v>3 seeds: 0 1 2</x:v>
      </x:c>
      <x:c r="R18" t="str">
        <x:v>3 seeds: 0 1 2</x:v>
      </x:c>
      <x:c r="S18" t="str">
        <x:v>3 seeds: 0 1 2</x:v>
      </x:c>
    </x:row>
    <x:row r="19">
      <x:c r="A19" t="str">
        <x:v>iTransformer</x:v>
      </x:c>
      <x:c r="B19" t="str">
        <x:v>Exchange Rate</x:v>
      </x:c>
      <x:c r="C19" t="n">
        <x:v>192</x:v>
      </x:c>
      <x:c r="D19" s="4" t="n">
        <x:v>0.19776666666666667</x:v>
      </x:c>
      <x:c r="E19" s="4" t="n">
        <x:v>0.17289159198602042</x:v>
      </x:c>
      <x:c r="F19" s="4" t="n">
        <x:v>0.17704390982786813</x:v>
      </x:c>
      <x:c r="G19" s="4" t="n">
        <x:v>0.1684557447830836</x:v>
      </x:c>
      <x:c r="H19" s="4" t="n">
        <x:f>IF(OR(D19="",E19=""),"",D19-E19)</x:f>
        <x:v>0.02487507468064626</x:v>
      </x:c>
      <x:c r="I19" s="5" t="n">
        <x:f>IFERROR(H19/D19,"")</x:f>
        <x:v>0.12577991579628986</x:v>
      </x:c>
      <x:c r="J19" s="4" t="n">
        <x:f>IF(OR(D19="",F19=""),"",D19-F19)</x:f>
        <x:v>0.02072275683879854</x:v>
      </x:c>
      <x:c r="K19" s="5" t="n">
        <x:f>IFERROR(J19/D19,"")</x:f>
        <x:v>0.10478387075070894</x:v>
      </x:c>
      <x:c r="L19" s="4" t="n">
        <x:f>IF(OR(E19="",G19=""),"",E19-G19)</x:f>
        <x:v>0.004435847202936827</x:v>
      </x:c>
      <x:c r="M19" s="5" t="n">
        <x:f>IFERROR(L19/E19,"")</x:f>
        <x:v>0.02565681275753131</x:v>
      </x:c>
      <x:c r="N19" s="4" t="n">
        <x:f>IF(OR(F19="",G19=""),"",F19-G19)</x:f>
        <x:v>0.008588165044784546</x:v>
      </x:c>
      <x:c r="O19" s="5" t="n">
        <x:f>IFERROR(N19/F19,"")</x:f>
        <x:v>0.0485086725272529</x:v>
      </x:c>
      <x:c r="P19" t="str">
        <x:v>3 seeds: 0 1 2</x:v>
      </x:c>
      <x:c r="Q19" t="str">
        <x:v>3 seeds: 0 1 2</x:v>
      </x:c>
      <x:c r="R19" t="str">
        <x:v>3 seeds: 0 1 2</x:v>
      </x:c>
      <x:c r="S19" t="str">
        <x:v>3 seeds: 0 1 2</x:v>
      </x:c>
    </x:row>
    <x:row r="20">
      <x:c r="A20" t="str">
        <x:v>iTransformer</x:v>
      </x:c>
      <x:c r="B20" t="str">
        <x:v>Exchange Rate</x:v>
      </x:c>
      <x:c r="C20" t="n">
        <x:v>336</x:v>
      </x:c>
      <x:c r="D20" s="4" t="n">
        <x:v>0.3455333333333333</x:v>
      </x:c>
      <x:c r="E20" s="4" t="n">
        <x:v>0.2351749191681544</x:v>
      </x:c>
      <x:c r="F20" s="4" t="n">
        <x:v>0.2801667849222819</x:v>
      </x:c>
      <x:c r="G20" s="4" t="n">
        <x:v>0.2244020253419876</x:v>
      </x:c>
      <x:c r="H20" s="4" t="n">
        <x:f>IF(OR(D20="",E20=""),"",D20-E20)</x:f>
        <x:v>0.11035841416517891</x:v>
      </x:c>
      <x:c r="I20" s="5" t="n">
        <x:f>IFERROR(H20/D20,"")</x:f>
        <x:v>0.31938572496193013</x:v>
      </x:c>
      <x:c r="J20" s="4" t="n">
        <x:f>IF(OR(D20="",F20=""),"",D20-F20)</x:f>
        <x:v>0.06536654841105138</x:v>
      </x:c>
      <x:c r="K20" s="5" t="n">
        <x:f>IFERROR(J20/D20,"")</x:f>
        <x:v>0.18917581056642307</x:v>
      </x:c>
      <x:c r="L20" s="4" t="n">
        <x:f>IF(OR(E20="",G20=""),"",E20-G20)</x:f>
        <x:v>0.01077289382616678</x:v>
      </x:c>
      <x:c r="M20" s="5" t="n">
        <x:f>IFERROR(L20/E20,"")</x:f>
        <x:v>0.045808004800307646</x:v>
      </x:c>
      <x:c r="N20" s="4" t="n">
        <x:f>IF(OR(F20="",G20=""),"",F20-G20)</x:f>
        <x:v>0.05576475958029431</x:v>
      </x:c>
      <x:c r="O20" s="5" t="n">
        <x:f>IFERROR(N20/F20,"")</x:f>
        <x:v>0.1990412946194297</x:v>
      </x:c>
      <x:c r="P20" t="str">
        <x:v>3 seeds: 0 1 2</x:v>
      </x:c>
      <x:c r="Q20" t="str">
        <x:v>3 seeds: 0 1 2</x:v>
      </x:c>
      <x:c r="R20" t="str">
        <x:v>3 seeds: 0 1 2</x:v>
      </x:c>
      <x:c r="S20" t="str">
        <x:v>3 seeds: 0 1 2</x:v>
      </x:c>
    </x:row>
    <x:row r="21">
      <x:c r="A21" t="str">
        <x:v>iTransformer</x:v>
      </x:c>
      <x:c r="B21" t="str">
        <x:v>Exchange Rate</x:v>
      </x:c>
      <x:c r="C21" t="n">
        <x:v>720</x:v>
      </x:c>
      <x:c r="D21" s="4" t="n">
        <x:v>0.9142333333333333</x:v>
      </x:c>
      <x:c r="E21" s="4" t="n">
        <x:v>0.3788573344548543</x:v>
      </x:c>
      <x:c r="F21" s="4" t="n">
        <x:v>0.5478642582893372</x:v>
      </x:c>
      <x:c r="G21" s="4" t="n">
        <x:v>0.382370521624883</x:v>
      </x:c>
      <x:c r="H21" s="4" t="n">
        <x:f>IF(OR(D21="",E21=""),"",D21-E21)</x:f>
        <x:v>0.535375998878479</x:v>
      </x:c>
      <x:c r="I21" s="5" t="n">
        <x:f>IFERROR(H21/D21,"")</x:f>
        <x:v>0.5856010488334258</x:v>
      </x:c>
      <x:c r="J21" s="4" t="n">
        <x:f>IF(OR(D21="",F21=""),"",D21-F21)</x:f>
        <x:v>0.3663690750439962</x:v>
      </x:c>
      <x:c r="K21" s="5" t="n">
        <x:f>IFERROR(J21/D21,"")</x:f>
        <x:v>0.4007391348423045</x:v>
      </x:c>
      <x:c r="L21" s="4" t="n">
        <x:f>IF(OR(E21="",G21=""),"",E21-G21)</x:f>
        <x:v>-0.0035131871700286865</x:v>
      </x:c>
      <x:c r="M21" s="5" t="n">
        <x:f>IFERROR(L21/E21,"")</x:f>
        <x:v>-0.009273113783276454</x:v>
      </x:c>
      <x:c r="N21" s="4" t="n">
        <x:f>IF(OR(F21="",G21=""),"",F21-G21)</x:f>
        <x:v>0.16549373666445416</x:v>
      </x:c>
      <x:c r="O21" s="5" t="n">
        <x:f>IFERROR(N21/F21,"")</x:f>
        <x:v>0.3020706938999731</x:v>
      </x:c>
      <x:c r="P21" t="str">
        <x:v>3 seeds: 0 1 2</x:v>
      </x:c>
      <x:c r="Q21" t="str">
        <x:v>3 seeds: 0 1 2</x:v>
      </x:c>
      <x:c r="R21" t="str">
        <x:v>3 seeds: 0 1 2</x:v>
      </x:c>
      <x:c r="S21" t="str">
        <x:v>3 seeds: 0 1 2</x:v>
      </x:c>
    </x:row>
    <x:row r="22">
      <x:c r="A22" t="str">
        <x:v>iTransformer</x:v>
      </x:c>
      <x:c r="B22" t="str">
        <x:v>weather</x:v>
      </x:c>
      <x:c r="C22" t="n">
        <x:v>96</x:v>
      </x:c>
      <x:c r="D22" s="4" t="n">
        <x:v>0.17246666666666666</x:v>
      </x:c>
      <x:c r="E22" s="4" t="n">
        <x:v>0.16426657140254974</x:v>
      </x:c>
      <x:c r="F22" s="4" t="n">
        <x:v>0.1653933028380076</x:v>
      </x:c>
      <x:c r="G22" s="4" t="n">
        <x:v>0.16370817522207895</x:v>
      </x:c>
      <x:c r="H22" s="4" t="n">
        <x:f>IF(OR(D22="",E22=""),"",D22-E22)</x:f>
        <x:v>0.008200095264116913</x:v>
      </x:c>
      <x:c r="I22" s="5" t="n">
        <x:f>IFERROR(H22/D22,"")</x:f>
        <x:v>0.04754597176720282</x:v>
      </x:c>
      <x:c r="J22" s="4" t="n">
        <x:f>IF(OR(D22="",F22=""),"",D22-F22)</x:f>
        <x:v>0.007073363828659057</x:v>
      </x:c>
      <x:c r="K22" s="5" t="n">
        <x:f>IFERROR(J22/D22,"")</x:f>
        <x:v>0.041012932906797785</x:v>
      </x:c>
      <x:c r="L22" s="4" t="n">
        <x:f>IF(OR(E22="",G22=""),"",E22-G22)</x:f>
        <x:v>0.0005583961804707938</x:v>
      </x:c>
      <x:c r="M22" s="5" t="n">
        <x:f>IFERROR(L22/E22,"")</x:f>
        <x:v>0.003399329368739271</x:v>
      </x:c>
      <x:c r="N22" s="4" t="n">
        <x:f>IF(OR(F22="",G22=""),"",F22-G22)</x:f>
        <x:v>0.00168512761592865</x:v>
      </x:c>
      <x:c r="O22" s="5" t="n">
        <x:f>IFERROR(N22/F22,"")</x:f>
        <x:v>0.01018860852896279</x:v>
      </x:c>
      <x:c r="P22" t="str">
        <x:v>3 seeds: 0 1 2</x:v>
      </x:c>
      <x:c r="Q22" t="str">
        <x:v>3 seeds: 0 1 2</x:v>
      </x:c>
      <x:c r="R22" t="str">
        <x:v>3 seeds: 0 1 2</x:v>
      </x:c>
      <x:c r="S22" t="str">
        <x:v>3 seeds: 0 1 2</x:v>
      </x:c>
    </x:row>
    <x:row r="23">
      <x:c r="A23" t="str">
        <x:v>iTransformer</x:v>
      </x:c>
      <x:c r="B23" t="str">
        <x:v>weather</x:v>
      </x:c>
      <x:c r="C23" t="n">
        <x:v>192</x:v>
      </x:c>
      <x:c r="D23" s="4" t="n">
        <x:v>0.2265</x:v>
      </x:c>
      <x:c r="E23" s="4" t="n">
        <x:v>0.23318802316983542</x:v>
      </x:c>
      <x:c r="F23" s="4" t="n">
        <x:v>0.23013276358445486</x:v>
      </x:c>
      <x:c r="G23" s="4" t="n">
        <x:v>0.21399196485678354</x:v>
      </x:c>
      <x:c r="H23" s="4" t="n">
        <x:f>IF(OR(D23="",E23=""),"",D23-E23)</x:f>
        <x:v>-0.006688023169835411</x:v>
      </x:c>
      <x:c r="I23" s="5" t="n">
        <x:f>IFERROR(H23/D23,"")</x:f>
        <x:v>-0.029527696114063622</x:v>
      </x:c>
      <x:c r="J23" s="4" t="n">
        <x:f>IF(OR(D23="",F23=""),"",D23-F23)</x:f>
        <x:v>-0.0036327635844548567</x:v>
      </x:c>
      <x:c r="K23" s="5" t="n">
        <x:f>IFERROR(J23/D23,"")</x:f>
        <x:v>-0.016038691322096496</x:v>
      </x:c>
      <x:c r="L23" s="4" t="n">
        <x:f>IF(OR(E23="",G23=""),"",E23-G23)</x:f>
        <x:v>0.019196058313051878</x:v>
      </x:c>
      <x:c r="M23" s="5" t="n">
        <x:f>IFERROR(L23/E23,"")</x:f>
        <x:v>0.08232008682140168</x:v>
      </x:c>
      <x:c r="N23" s="4" t="n">
        <x:f>IF(OR(F23="",G23=""),"",F23-G23)</x:f>
        <x:v>0.016140798727671324</x:v>
      </x:c>
      <x:c r="O23" s="5" t="n">
        <x:f>IFERROR(N23/F23,"")</x:f>
        <x:v>0.07013690044072286</x:v>
      </x:c>
      <x:c r="P23" t="str">
        <x:v>3 seeds: 0 1 2</x:v>
      </x:c>
      <x:c r="Q23" t="str">
        <x:v>3 seeds: 0 1 2</x:v>
      </x:c>
      <x:c r="R23" t="str">
        <x:v>3 seeds: 0 1 2</x:v>
      </x:c>
      <x:c r="S23" t="str">
        <x:v>3 seeds: 0 1 2</x:v>
      </x:c>
    </x:row>
    <x:row r="24">
      <x:c r="A24" t="str">
        <x:v>iTransformer</x:v>
      </x:c>
      <x:c r="B24" t="str">
        <x:v>weather</x:v>
      </x:c>
      <x:c r="C24" t="n">
        <x:v>336</x:v>
      </x:c>
      <x:c r="D24" s="4" t="n">
        <x:v>0.2804</x:v>
      </x:c>
      <x:c r="E24" s="4" t="n">
        <x:v>0.2943750520547231</x:v>
      </x:c>
      <x:c r="F24" s="4" t="n">
        <x:v>0.32673539717992145</x:v>
      </x:c>
      <x:c r="G24" s="4" t="n">
        <x:v>0.2383541315793991</x:v>
      </x:c>
      <x:c r="H24" s="4" t="n">
        <x:f>IF(OR(D24="",E24=""),"",D24-E24)</x:f>
        <x:v>-0.013975052054723103</x:v>
      </x:c>
      <x:c r="I24" s="5" t="n">
        <x:f>IFERROR(H24/D24,"")</x:f>
        <x:v>-0.04983970062312091</x:v>
      </x:c>
      <x:c r="J24" s="4" t="n">
        <x:f>IF(OR(D24="",F24=""),"",D24-F24)</x:f>
        <x:v>-0.04633539717992147</x:v>
      </x:c>
      <x:c r="K24" s="5" t="n">
        <x:f>IFERROR(J24/D24,"")</x:f>
        <x:v>-0.1652474935089924</x:v>
      </x:c>
      <x:c r="L24" s="4" t="n">
        <x:f>IF(OR(E24="",G24=""),"",E24-G24)</x:f>
        <x:v>0.056020920475323976</x:v>
      </x:c>
      <x:c r="M24" s="5" t="n">
        <x:f>IFERROR(L24/E24,"")</x:f>
        <x:v>0.19030457942784473</x:v>
      </x:c>
      <x:c r="N24" s="4" t="n">
        <x:f>IF(OR(F24="",G24=""),"",F24-G24)</x:f>
        <x:v>0.08838126560052234</x:v>
      </x:c>
      <x:c r="O24" s="5" t="n">
        <x:f>IFERROR(N24/F24,"")</x:f>
        <x:v>0.2704979820470873</x:v>
      </x:c>
      <x:c r="P24" t="str">
        <x:v>3 seeds: 0 1 2</x:v>
      </x:c>
      <x:c r="Q24" t="str">
        <x:v>3 seeds: 0 1 2</x:v>
      </x:c>
      <x:c r="R24" t="str">
        <x:v>3 seeds: 0 1 2</x:v>
      </x:c>
      <x:c r="S24" t="str">
        <x:v>3 seeds: 0 1 2</x:v>
      </x:c>
    </x:row>
    <x:row r="25">
      <x:c r="A25" t="str">
        <x:v>iTransformer</x:v>
      </x:c>
      <x:c r="B25" t="str">
        <x:v>weather</x:v>
      </x:c>
      <x:c r="C25" t="n">
        <x:v>720</x:v>
      </x:c>
      <x:c r="D25" s="4" t="n">
        <x:v>0.3565</x:v>
      </x:c>
      <x:c r="E25" s="4" t="n">
        <x:v>0.32412662108739215</x:v>
      </x:c>
      <x:c r="F25" s="4" t="n">
        <x:v>0.3585677246252696</x:v>
      </x:c>
      <x:c r="G25" s="4" t="n">
        <x:v>0.2243739515542984</x:v>
      </x:c>
      <x:c r="H25" s="4" t="n">
        <x:f>IF(OR(D25="",E25=""),"",D25-E25)</x:f>
        <x:v>0.03237337891260783</x:v>
      </x:c>
      <x:c r="I25" s="5" t="n">
        <x:f>IFERROR(H25/D25,"")</x:f>
        <x:v>0.09080891700591258</x:v>
      </x:c>
      <x:c r="J25" s="4" t="n">
        <x:f>IF(OR(D25="",F25=""),"",D25-F25)</x:f>
        <x:v>-0.002067724625269607</x:v>
      </x:c>
      <x:c r="K25" s="5" t="n">
        <x:f>IFERROR(J25/D25,"")</x:f>
        <x:v>-0.0058000690750900615</x:v>
      </x:c>
      <x:c r="L25" s="4" t="n">
        <x:f>IF(OR(E25="",G25=""),"",E25-G25)</x:f>
        <x:v>0.09975266953309375</x:v>
      </x:c>
      <x:c r="M25" s="5" t="n">
        <x:f>IFERROR(L25/E25,"")</x:f>
        <x:v>0.30775833591958524</x:v>
      </x:c>
      <x:c r="N25" s="4" t="n">
        <x:f>IF(OR(F25="",G25=""),"",F25-G25)</x:f>
        <x:v>0.1341937730709712</x:v>
      </x:c>
      <x:c r="O25" s="5" t="n">
        <x:f>IFERROR(N25/F25,"")</x:f>
        <x:v>0.37424944816551414</x:v>
      </x:c>
      <x:c r="P25" t="str">
        <x:v>3 seeds: 0 1 2</x:v>
      </x:c>
      <x:c r="Q25" t="str">
        <x:v>3 seeds: 0 1 2</x:v>
      </x:c>
      <x:c r="R25" t="str">
        <x:v>3 seeds: 0 1 2</x:v>
      </x:c>
      <x:c r="S25" t="str">
        <x:v>3 seeds: 0 1 2</x:v>
      </x:c>
    </x:row>
    <x:row r="26">
      <x:c r="A26" t="str">
        <x:v>iTransformer</x:v>
      </x:c>
      <x:c r="B26" t="str">
        <x:v>electricity</x:v>
      </x:c>
      <x:c r="C26" t="n">
        <x:v>96</x:v>
      </x:c>
      <x:c r="D26" s="4" t="n">
        <x:v>0.16583333333333333</x:v>
      </x:c>
      <x:c r="E26" s="4" t="n">
        <x:v>0.15975547830263773</x:v>
      </x:c>
      <x:c r="F26" s="4" t="n">
        <x:v>0.15986650685469309</x:v>
      </x:c>
      <x:c r="G26" s="4" t="n">
        <x:v>0.15992635985215506</x:v>
      </x:c>
      <x:c r="H26" s="4" t="n">
        <x:f>IF(OR(D26="",E26=""),"",D26-E26)</x:f>
        <x:v>0.006077855030695606</x:v>
      </x:c>
      <x:c r="I26" s="5" t="n">
        <x:f>IFERROR(H26/D26,"")</x:f>
        <x:v>0.03665038209464687</x:v>
      </x:c>
      <x:c r="J26" s="4" t="n">
        <x:f>IF(OR(D26="",F26=""),"",D26-F26)</x:f>
        <x:v>0.005966826478640247</x:v>
      </x:c>
      <x:c r="K26" s="5" t="n">
        <x:f>IFERROR(J26/D26,"")</x:f>
        <x:v>0.03598086318778038</x:v>
      </x:c>
      <x:c r="L26" s="4" t="n">
        <x:f>IF(OR(E26="",G26=""),"",E26-G26)</x:f>
        <x:v>-0.00017088154951733214</x:v>
      </x:c>
      <x:c r="M26" s="5" t="n">
        <x:f>IFERROR(L26/E26,"")</x:f>
        <x:v>-0.0010696443798541757</x:v>
      </x:c>
      <x:c r="N26" s="4" t="n">
        <x:f>IF(OR(F26="",G26=""),"",F26-G26)</x:f>
        <x:v>-0.000059852997461973256</x:v>
      </x:c>
      <x:c r="O26" s="5" t="n">
        <x:f>IFERROR(N26/F26,"")</x:f>
        <x:v>-0.0003743936027599279</x:v>
      </x:c>
      <x:c r="P26" t="str">
        <x:v>3 seeds: 0 1 2</x:v>
      </x:c>
      <x:c r="Q26" t="str">
        <x:v>3 seeds: 0 1 2</x:v>
      </x:c>
      <x:c r="R26" t="str">
        <x:v>3 seeds: 0 1 2</x:v>
      </x:c>
      <x:c r="S26" t="str">
        <x:v>3 seeds: 0 1 2</x:v>
      </x:c>
    </x:row>
    <x:row r="27">
      <x:c r="A27" t="str">
        <x:v>iTransformer</x:v>
      </x:c>
      <x:c r="B27" t="str">
        <x:v>electricity</x:v>
      </x:c>
      <x:c r="C27" t="n">
        <x:v>192</x:v>
      </x:c>
      <x:c r="D27" s="4" t="n">
        <x:v>0.17930000000000001</x:v>
      </x:c>
      <x:c r="E27" s="4" t="n">
        <x:v>0.17201883594195047</x:v>
      </x:c>
      <x:c r="F27" s="4" t="n">
        <x:v>0.17080611983935037</x:v>
      </x:c>
      <x:c r="G27" s="4" t="n">
        <x:v>0.17074458301067352</x:v>
      </x:c>
      <x:c r="H27" s="4" t="n">
        <x:f>IF(OR(D27="",E27=""),"",D27-E27)</x:f>
        <x:v>0.007281164058049544</x:v>
      </x:c>
      <x:c r="I27" s="5" t="n">
        <x:f>IFERROR(H27/D27,"")</x:f>
        <x:v>0.04060883467958474</x:v>
      </x:c>
      <x:c r="J27" s="4" t="n">
        <x:f>IF(OR(D27="",F27=""),"",D27-F27)</x:f>
        <x:v>0.008493880160649642</x:v>
      </x:c>
      <x:c r="K27" s="5" t="n">
        <x:f>IFERROR(J27/D27,"")</x:f>
        <x:v>0.0473724493064676</x:v>
      </x:c>
      <x:c r="L27" s="4" t="n">
        <x:f>IF(OR(E27="",G27=""),"",E27-G27)</x:f>
        <x:v>0.001274252931276948</x:v>
      </x:c>
      <x:c r="M27" s="5" t="n">
        <x:f>IFERROR(L27/E27,"")</x:f>
        <x:v>0.007407636055082698</x:v>
      </x:c>
      <x:c r="N27" s="4" t="n">
        <x:f>IF(OR(F27="",G27=""),"",F27-G27)</x:f>
        <x:v>0.00006153682867685029</x:v>
      </x:c>
      <x:c r="O27" s="5" t="n">
        <x:f>IFERROR(N27/F27,"")</x:f>
        <x:v>0.00036027297344338717</x:v>
      </x:c>
      <x:c r="P27" t="str">
        <x:v>3 seeds: 0 1 2</x:v>
      </x:c>
      <x:c r="Q27" t="str">
        <x:v>3 seeds: 0 1 2</x:v>
      </x:c>
      <x:c r="R27" t="str">
        <x:v>3 seeds: 0 1 2</x:v>
      </x:c>
      <x:c r="S27" t="str">
        <x:v>3 seeds: 0 1 2</x:v>
      </x:c>
    </x:row>
    <x:row r="28">
      <x:c r="A28" t="str">
        <x:v>iTransformer</x:v>
      </x:c>
      <x:c r="B28" t="str">
        <x:v>electricity</x:v>
      </x:c>
      <x:c r="C28" t="n">
        <x:v>336</x:v>
      </x:c>
      <x:c r="D28" s="4" t="n">
        <x:v>0.1948</x:v>
      </x:c>
      <x:c r="E28" s="4" t="n">
        <x:v>0.1819188048442205</x:v>
      </x:c>
      <x:c r="F28" s="4" t="n">
        <x:v>0.1789950132369995</x:v>
      </x:c>
      <x:c r="G28" s="4" t="n">
        <x:v>0.17861836155255637</x:v>
      </x:c>
      <x:c r="H28" s="4" t="n">
        <x:f>IF(OR(D28="",E28=""),"",D28-E28)</x:f>
        <x:v>0.012881195155779512</x:v>
      </x:c>
      <x:c r="I28" s="5" t="n">
        <x:f>IFERROR(H28/D28,"")</x:f>
        <x:v>0.06612523180584966</x:v>
      </x:c>
      <x:c r="J28" s="4" t="n">
        <x:f>IF(OR(D28="",F28=""),"",D28-F28)</x:f>
        <x:v>0.01580498676300049</x:v>
      </x:c>
      <x:c r="K28" s="5" t="n">
        <x:f>IFERROR(J28/D28,"")</x:f>
        <x:v>0.08113442896817499</x:v>
      </x:c>
      <x:c r="L28" s="4" t="n">
        <x:f>IF(OR(E28="",G28=""),"",E28-G28)</x:f>
        <x:v>0.0033004432916641235</x:v>
      </x:c>
      <x:c r="M28" s="5" t="n">
        <x:f>IFERROR(L28/E28,"")</x:f>
        <x:v>0.018142397617939152</x:v>
      </x:c>
      <x:c r="N28" s="4" t="n">
        <x:f>IF(OR(F28="",G28=""),"",F28-G28)</x:f>
        <x:v>0.00037665168444314667</x:v>
      </x:c>
      <x:c r="O28" s="5" t="n">
        <x:f>IFERROR(N28/F28,"")</x:f>
        <x:v>0.0021042579769774846</x:v>
      </x:c>
      <x:c r="P28" t="str">
        <x:v>3 seeds: 0 1 2</x:v>
      </x:c>
      <x:c r="Q28" t="str">
        <x:v>3 seeds: 0 1 2</x:v>
      </x:c>
      <x:c r="R28" t="str">
        <x:v>3 seeds: 0 1 2</x:v>
      </x:c>
      <x:c r="S28" t="str">
        <x:v>3 seeds: 0 1 2</x:v>
      </x:c>
    </x:row>
    <x:row r="29">
      <x:c r="A29" t="str">
        <x:v>iTransformer</x:v>
      </x:c>
      <x:c r="B29" t="str">
        <x:v>electricity</x:v>
      </x:c>
      <x:c r="C29" t="n">
        <x:v>720</x:v>
      </x:c>
      <x:c r="D29" s="4" t="n">
        <x:v>0.23333333333333334</x:v>
      </x:c>
      <x:c r="E29" s="4" t="n">
        <x:v>0.21030937631924948</x:v>
      </x:c>
      <x:c r="F29" s="4" t="n">
        <x:v>0.2046805570522944</x:v>
      </x:c>
      <x:c r="G29" s="4" t="n">
        <x:v>0.1949946234623591</x:v>
      </x:c>
      <x:c r="H29" s="4" t="n">
        <x:f>IF(OR(D29="",E29=""),"",D29-E29)</x:f>
        <x:v>0.023023957014083857</x:v>
      </x:c>
      <x:c r="I29" s="5" t="n">
        <x:f>IFERROR(H29/D29,"")</x:f>
        <x:v>0.09867410148893081</x:v>
      </x:c>
      <x:c r="J29" s="4" t="n">
        <x:f>IF(OR(D29="",F29=""),"",D29-F29)</x:f>
        <x:v>0.028652776281038933</x:v>
      </x:c>
      <x:c r="K29" s="5" t="n">
        <x:f>IFERROR(J29/D29,"")</x:f>
        <x:v>0.122797612633024</x:v>
      </x:c>
      <x:c r="L29" s="4" t="n">
        <x:f>IF(OR(E29="",G29=""),"",E29-G29)</x:f>
        <x:v>0.015314752856890379</x:v>
      </x:c>
      <x:c r="M29" s="5" t="n">
        <x:f>IFERROR(L29/E29,"")</x:f>
        <x:v>0.07282011446623567</x:v>
      </x:c>
      <x:c r="N29" s="4" t="n">
        <x:f>IF(OR(F29="",G29=""),"",F29-G29)</x:f>
        <x:v>0.009685933589935303</x:v>
      </x:c>
      <x:c r="O29" s="5" t="n">
        <x:f>IFERROR(N29/F29,"")</x:f>
        <x:v>0.04732219674124014</x:v>
      </x:c>
      <x:c r="P29" t="str">
        <x:v>3 seeds: 0 1 2</x:v>
      </x:c>
      <x:c r="Q29" t="str">
        <x:v>3 seeds: 0 1 2</x:v>
      </x:c>
      <x:c r="R29" t="str">
        <x:v>3 seeds: 0 1 2</x:v>
      </x:c>
      <x:c r="S29" t="str">
        <x:v>3 seeds: 0 1 2</x:v>
      </x:c>
    </x:row>
    <x:row r="30">
      <x:c r="A30" t="str">
        <x:v>DLinear</x:v>
      </x:c>
      <x:c r="B30" t="str">
        <x:v>ETTh1</x:v>
      </x:c>
      <x:c r="C30" t="n">
        <x:v>96</x:v>
      </x:c>
      <x:c r="D30" s="4" t="n">
        <x:v>0.4489</x:v>
      </x:c>
      <x:c r="E30" s="4" t="n">
        <x:v>0.4417733699083328</x:v>
      </x:c>
      <x:c r="F30" s="4" t="n">
        <x:v>0.452557772397995</x:v>
      </x:c>
      <x:c r="G30" s="4" t="n">
        <x:v>0.4289526492357254</x:v>
      </x:c>
      <x:c r="H30" s="4" t="n">
        <x:f>IF(OR(D30="",E30=""),"",D30-E30)</x:f>
        <x:v>0.0071266300916671965</x:v>
      </x:c>
      <x:c r="I30" s="5" t="n">
        <x:f>IFERROR(H30/D30,"")</x:f>
        <x:v>0.015875763180368003</x:v>
      </x:c>
      <x:c r="J30" s="4" t="n">
        <x:f>IF(OR(D30="",F30=""),"",D30-F30)</x:f>
        <x:v>-0.003657772397994974</x:v>
      </x:c>
      <x:c r="K30" s="5" t="n">
        <x:f>IFERROR(J30/D30,"")</x:f>
        <x:v>-0.008148301176197312</x:v>
      </x:c>
      <x:c r="L30" s="4" t="n">
        <x:f>IF(OR(E30="",G30=""),"",E30-G30)</x:f>
        <x:v>0.012820720672607422</x:v>
      </x:c>
      <x:c r="M30" s="5" t="n">
        <x:f>IFERROR(L30/E30,"")</x:f>
        <x:v>0.029021035548764965</x:v>
      </x:c>
      <x:c r="N30" s="4" t="n">
        <x:f>IF(OR(F30="",G30=""),"",F30-G30)</x:f>
        <x:v>0.023605123162269592</x:v>
      </x:c>
      <x:c r="O30" s="5" t="n">
        <x:f>IFERROR(N30/F30,"")</x:f>
        <x:v>0.05215935865423703</x:v>
      </x:c>
      <x:c r="P30" t="str">
        <x:v>3 seeds: 0 1 2</x:v>
      </x:c>
      <x:c r="Q30" t="str">
        <x:v>2 seeds: 1 2</x:v>
      </x:c>
      <x:c r="R30" t="str">
        <x:v>2 seeds: 1 2</x:v>
      </x:c>
      <x:c r="S30" t="str">
        <x:v>2 seeds: 1 2</x:v>
      </x:c>
    </x:row>
    <x:row r="31">
      <x:c r="A31" t="str">
        <x:v>DLinear</x:v>
      </x:c>
      <x:c r="B31" t="str">
        <x:v>ETTh1</x:v>
      </x:c>
      <x:c r="C31" t="n">
        <x:v>192</x:v>
      </x:c>
      <x:c r="D31" s="4" t="n">
        <x:v>0.5030666666666667</x:v>
      </x:c>
      <x:c r="E31" s="4" t="n">
        <x:v>0.5067201554775238</x:v>
      </x:c>
      <x:c r="F31" s="4" t="n">
        <x:v>0.5242875516414642</x:v>
      </x:c>
      <x:c r="G31" s="4" t="n">
        <x:v>0.5014365613460541</x:v>
      </x:c>
      <x:c r="H31" s="4" t="n">
        <x:f>IF(OR(D31="",E31=""),"",D31-E31)</x:f>
        <x:v>-0.0036534888108571417</x:v>
      </x:c>
      <x:c r="I31" s="5" t="n">
        <x:f>IFERROR(H31/D31,"")</x:f>
        <x:v>-0.007262434688955357</x:v>
      </x:c>
      <x:c r="J31" s="4" t="n">
        <x:f>IF(OR(D31="",F31=""),"",D31-F31)</x:f>
        <x:v>-0.02122088497479757</x:v>
      </x:c>
      <x:c r="K31" s="5" t="n">
        <x:f>IFERROR(J31/D31,"")</x:f>
        <x:v>-0.042183047259735436</x:v>
      </x:c>
      <x:c r="L31" s="4" t="n">
        <x:f>IF(OR(E31="",G31=""),"",E31-G31)</x:f>
        <x:v>0.0052835941314697266</x:v>
      </x:c>
      <x:c r="M31" s="5" t="n">
        <x:f>IFERROR(L31/E31,"")</x:f>
        <x:v>0.010427045528691403</x:v>
      </x:c>
      <x:c r="N31" s="4" t="n">
        <x:f>IF(OR(F31="",G31=""),"",F31-G31)</x:f>
        <x:v>0.022850990295410156</x:v>
      </x:c>
      <x:c r="O31" s="5" t="n">
        <x:f>IFERROR(N31/F31,"")</x:f>
        <x:v>0.043584842371075176</x:v>
      </x:c>
      <x:c r="P31" t="str">
        <x:v>3 seeds: 0 1 2</x:v>
      </x:c>
      <x:c r="Q31" t="str">
        <x:v>2 seeds: 1 2</x:v>
      </x:c>
      <x:c r="R31" t="str">
        <x:v>2 seeds: 1 2</x:v>
      </x:c>
      <x:c r="S31" t="str">
        <x:v>2 seeds: 1 2</x:v>
      </x:c>
    </x:row>
    <x:row r="32">
      <x:c r="A32" t="str">
        <x:v>DLinear</x:v>
      </x:c>
      <x:c r="B32" t="str">
        <x:v>ETTh1</x:v>
      </x:c>
      <x:c r="C32" t="n">
        <x:v>336</x:v>
      </x:c>
      <x:c r="D32" s="4" t="n">
        <x:v>0.5517333333333333</x:v>
      </x:c>
      <x:c r="E32" s="4" t="n">
        <x:v>0.562071681022644</x:v>
      </x:c>
      <x:c r="F32" s="4" t="n">
        <x:v>0.5335347056388855</x:v>
      </x:c>
      <x:c r="G32" s="4" t="n">
        <x:v>0.5466431677341461</x:v>
      </x:c>
      <x:c r="H32" s="4" t="n">
        <x:f>IF(OR(D32="",E32=""),"",D32-E32)</x:f>
        <x:v>-0.010338347689310745</x:v>
      </x:c>
      <x:c r="I32" s="5" t="n">
        <x:f>IFERROR(H32/D32,"")</x:f>
        <x:v>-0.018737942887827597</x:v>
      </x:c>
      <x:c r="J32" s="4" t="n">
        <x:f>IF(OR(D32="",F32=""),"",D32-F32)</x:f>
        <x:v>0.0181986276944478</x:v>
      </x:c>
      <x:c r="K32" s="5" t="n">
        <x:f>IFERROR(J32/D32,"")</x:f>
        <x:v>0.032984462955137385</x:v>
      </x:c>
      <x:c r="L32" s="4" t="n">
        <x:f>IF(OR(E32="",G32=""),"",E32-G32)</x:f>
        <x:v>0.015428513288497925</x:v>
      </x:c>
      <x:c r="M32" s="5" t="n">
        <x:f>IFERROR(L32/E32,"")</x:f>
        <x:v>0.027449369554479228</x:v>
      </x:c>
      <x:c r="N32" s="4" t="n">
        <x:f>IF(OR(F32="",G32=""),"",F32-G32)</x:f>
        <x:v>-0.01310846209526062</x:v>
      </x:c>
      <x:c r="O32" s="5" t="n">
        <x:f>IFERROR(N32/F32,"")</x:f>
        <x:v>-0.02456908980187856</x:v>
      </x:c>
      <x:c r="P32" t="str">
        <x:v>3 seeds: 0 1 2</x:v>
      </x:c>
      <x:c r="Q32" t="str">
        <x:v>2 seeds: 1 2</x:v>
      </x:c>
      <x:c r="R32" t="str">
        <x:v>2 seeds: 1 2</x:v>
      </x:c>
      <x:c r="S32" t="str">
        <x:v>2 seeds: 1 2</x:v>
      </x:c>
    </x:row>
    <x:row r="33">
      <x:c r="A33" t="str">
        <x:v>DLinear</x:v>
      </x:c>
      <x:c r="B33" t="str">
        <x:v>ETTh1</x:v>
      </x:c>
      <x:c r="C33" t="n">
        <x:v>720</x:v>
      </x:c>
      <x:c r="D33" s="4" t="n">
        <x:v>0.7043666666666667</x:v>
      </x:c>
      <x:c r="E33" s="4" t="n">
        <x:v>0.6534022986888885</x:v>
      </x:c>
      <x:c r="F33" s="4" t="n">
        <x:v>0.5919471085071564</x:v>
      </x:c>
      <x:c r="G33" s="4" t="n">
        <x:v>0.5779048502445221</x:v>
      </x:c>
      <x:c r="H33" s="4" t="n">
        <x:f>IF(OR(D33="",E33=""),"",D33-E33)</x:f>
        <x:v>0.05096436797777815</x:v>
      </x:c>
      <x:c r="I33" s="5" t="n">
        <x:f>IFERROR(H33/D33,"")</x:f>
        <x:v>0.07235488331519305</x:v>
      </x:c>
      <x:c r="J33" s="4" t="n">
        <x:f>IF(OR(D33="",F33=""),"",D33-F33)</x:f>
        <x:v>0.11241955815951032</x:v>
      </x:c>
      <x:c r="K33" s="5" t="n">
        <x:f>IFERROR(J33/D33,"")</x:f>
        <x:v>0.1596037454349207</x:v>
      </x:c>
      <x:c r="L33" s="4" t="n">
        <x:f>IF(OR(E33="",G33=""),"",E33-G33)</x:f>
        <x:v>0.07549744844436646</x:v>
      </x:c>
      <x:c r="M33" s="5" t="n">
        <x:f>IFERROR(L33/E33,"")</x:f>
        <x:v>0.11554512219479329</x:v>
      </x:c>
      <x:c r="N33" s="4" t="n">
        <x:f>IF(OR(F33="",G33=""),"",F33-G33)</x:f>
        <x:v>0.014042258262634277</x:v>
      </x:c>
      <x:c r="O33" s="5" t="n">
        <x:f>IFERROR(N33/F33,"")</x:f>
        <x:v>0.023722150274621222</x:v>
      </x:c>
      <x:c r="P33" t="str">
        <x:v>3 seeds: 0 1 2</x:v>
      </x:c>
      <x:c r="Q33" t="str">
        <x:v>2 seeds: 1 2</x:v>
      </x:c>
      <x:c r="R33" t="str">
        <x:v>2 seeds: 1 2</x:v>
      </x:c>
      <x:c r="S33" t="str">
        <x:v>2 seeds: 1 2</x:v>
      </x:c>
    </x:row>
    <x:row r="34">
      <x:c r="A34" t="str">
        <x:v>DLinear</x:v>
      </x:c>
      <x:c r="B34" t="str">
        <x:v>ETTh2</x:v>
      </x:c>
      <x:c r="C34" t="n">
        <x:v>96</x:v>
      </x:c>
      <x:c r="D34" s="4" t="n">
        <x:v>0.1792</x:v>
      </x:c>
      <x:c r="E34" s="4" t="n">
        <x:v>0.17986025661230087</x:v>
      </x:c>
      <x:c r="F34" s="4" t="n">
        <x:v>0.17882581055164337</x:v>
      </x:c>
      <x:c r="G34" s="4" t="n">
        <x:v>0.17634927481412888</x:v>
      </x:c>
      <x:c r="H34" s="4" t="n">
        <x:f>IF(OR(D34="",E34=""),"",D34-E34)</x:f>
        <x:v>-0.0006602566123008746</x:v>
      </x:c>
      <x:c r="I34" s="5" t="n">
        <x:f>IFERROR(H34/D34,"")</x:f>
        <x:v>-0.003684467702571845</x:v>
      </x:c>
      <x:c r="J34" s="4" t="n">
        <x:f>IF(OR(D34="",F34=""),"",D34-F34)</x:f>
        <x:v>0.0003741894483566266</x:v>
      </x:c>
      <x:c r="K34" s="5" t="n">
        <x:f>IFERROR(J34/D34,"")</x:f>
        <x:v>0.002088110760918675</x:v>
      </x:c>
      <x:c r="L34" s="4" t="n">
        <x:f>IF(OR(E34="",G34=""),"",E34-G34)</x:f>
        <x:v>0.003510981798171997</x:v>
      </x:c>
      <x:c r="M34" s="5" t="n">
        <x:f>IFERROR(L34/E34,"")</x:f>
        <x:v>0.019520609301365115</x:v>
      </x:c>
      <x:c r="N34" s="4" t="n">
        <x:f>IF(OR(F34="",G34=""),"",F34-G34)</x:f>
        <x:v>0.002476535737514496</x:v>
      </x:c>
      <x:c r="O34" s="5" t="n">
        <x:f>IFERROR(N34/F34,"")</x:f>
        <x:v>0.013848871870759918</x:v>
      </x:c>
      <x:c r="P34" t="str">
        <x:v>3 seeds: 0 1 2</x:v>
      </x:c>
      <x:c r="Q34" t="str">
        <x:v>2 seeds: 1 2</x:v>
      </x:c>
      <x:c r="R34" t="str">
        <x:v>2 seeds: 1 2</x:v>
      </x:c>
      <x:c r="S34" t="str">
        <x:v>2 seeds: 1 2</x:v>
      </x:c>
    </x:row>
    <x:row r="35">
      <x:c r="A35" t="str">
        <x:v>DLinear</x:v>
      </x:c>
      <x:c r="B35" t="str">
        <x:v>ETTh2</x:v>
      </x:c>
      <x:c r="C35" t="n">
        <x:v>192</x:v>
      </x:c>
      <x:c r="D35" s="4" t="n">
        <x:v>0.22106666666666666</x:v>
      </x:c>
      <x:c r="E35" s="4" t="n">
        <x:v>0.22802142798900604</x:v>
      </x:c>
      <x:c r="F35" s="4" t="n">
        <x:v>0.2314051315188408</x:v>
      </x:c>
      <x:c r="G35" s="4" t="n">
        <x:v>0.22928327322006226</x:v>
      </x:c>
      <x:c r="H35" s="4" t="n">
        <x:f>IF(OR(D35="",E35=""),"",D35-E35)</x:f>
        <x:v>-0.006954761322339381</x:v>
      </x:c>
      <x:c r="I35" s="5" t="n">
        <x:f>IFERROR(H35/D35,"")</x:f>
        <x:v>-0.03146001804435788</x:v>
      </x:c>
      <x:c r="J35" s="4" t="n">
        <x:f>IF(OR(D35="",F35=""),"",D35-F35)</x:f>
        <x:v>-0.010338464852174128</x:v>
      </x:c>
      <x:c r="K35" s="5" t="n">
        <x:f>IFERROR(J35/D35,"")</x:f>
        <x:v>-0.04676627647244027</x:v>
      </x:c>
      <x:c r="L35" s="4" t="n">
        <x:f>IF(OR(E35="",G35=""),"",E35-G35)</x:f>
        <x:v>-0.0012618452310562134</x:v>
      </x:c>
      <x:c r="M35" s="5" t="n">
        <x:f>IFERROR(L35/E35,"")</x:f>
        <x:v>-0.00553388881994482</x:v>
      </x:c>
      <x:c r="N35" s="4" t="n">
        <x:f>IF(OR(F35="",G35=""),"",F35-G35)</x:f>
        <x:v>0.002121858298778534</x:v>
      </x:c>
      <x:c r="O35" s="5" t="n">
        <x:f>IFERROR(N35/F35,"")</x:f>
        <x:v>0.009169452228010657</x:v>
      </x:c>
      <x:c r="P35" t="str">
        <x:v>3 seeds: 0 1 2</x:v>
      </x:c>
      <x:c r="Q35" t="str">
        <x:v>2 seeds: 1 2</x:v>
      </x:c>
      <x:c r="R35" t="str">
        <x:v>2 seeds: 1 2</x:v>
      </x:c>
      <x:c r="S35" t="str">
        <x:v>2 seeds: 1 2</x:v>
      </x:c>
    </x:row>
    <x:row r="36">
      <x:c r="A36" t="str">
        <x:v>DLinear</x:v>
      </x:c>
      <x:c r="B36" t="str">
        <x:v>ETTh2</x:v>
      </x:c>
      <x:c r="C36" t="n">
        <x:v>336</x:v>
      </x:c>
      <x:c r="D36" s="4" t="n">
        <x:v>0.2507</x:v>
      </x:c>
      <x:c r="E36" s="4" t="n">
        <x:v>0.2520225793123245</x:v>
      </x:c>
      <x:c r="F36" s="4" t="n">
        <x:v>0.25274820625782013</x:v>
      </x:c>
      <x:c r="G36" s="4" t="n">
        <x:v>0.24613437056541443</x:v>
      </x:c>
      <x:c r="H36" s="4" t="n">
        <x:f>IF(OR(D36="",E36=""),"",D36-E36)</x:f>
        <x:v>-0.0013225793123245455</x:v>
      </x:c>
      <x:c r="I36" s="5" t="n">
        <x:f>IFERROR(H36/D36,"")</x:f>
        <x:v>-0.005275545721278602</x:v>
      </x:c>
      <x:c r="J36" s="4" t="n">
        <x:f>IF(OR(D36="",F36=""),"",D36-F36)</x:f>
        <x:v>-0.002048206257820151</x:v>
      </x:c>
      <x:c r="K36" s="5" t="n">
        <x:f>IFERROR(J36/D36,"")</x:f>
        <x:v>-0.008169949173594539</x:v>
      </x:c>
      <x:c r="L36" s="4" t="n">
        <x:f>IF(OR(E36="",G36=""),"",E36-G36)</x:f>
        <x:v>0.005888208746910095</x:v>
      </x:c>
      <x:c r="M36" s="5" t="n">
        <x:f>IFERROR(L36/E36,"")</x:f>
        <x:v>0.023363814317656845</x:v>
      </x:c>
      <x:c r="N36" s="4" t="n">
        <x:f>IF(OR(F36="",G36=""),"",F36-G36)</x:f>
        <x:v>0.006613835692405701</x:v>
      </x:c>
      <x:c r="O36" s="5" t="n">
        <x:f>IFERROR(N36/F36,"")</x:f>
        <x:v>0.0261676859762128</x:v>
      </x:c>
      <x:c r="P36" t="str">
        <x:v>3 seeds: 0 1 2</x:v>
      </x:c>
      <x:c r="Q36" t="str">
        <x:v>2 seeds: 1 2</x:v>
      </x:c>
      <x:c r="R36" t="str">
        <x:v>2 seeds: 1 2</x:v>
      </x:c>
      <x:c r="S36" t="str">
        <x:v>2 seeds: 1 2</x:v>
      </x:c>
    </x:row>
    <x:row r="37">
      <x:c r="A37" t="str">
        <x:v>DLinear</x:v>
      </x:c>
      <x:c r="B37" t="str">
        <x:v>ETTh2</x:v>
      </x:c>
      <x:c r="C37" t="n">
        <x:v>720</x:v>
      </x:c>
      <x:c r="D37" s="4" t="n">
        <x:v>0.3149</x:v>
      </x:c>
      <x:c r="E37" s="4" t="n">
        <x:v>0.27618786692619324</x:v>
      </x:c>
      <x:c r="F37" s="4" t="n">
        <x:v>0.2760893404483795</x:v>
      </x:c>
      <x:c r="G37" s="4" t="n">
        <x:v>0.2764386087656021</x:v>
      </x:c>
      <x:c r="H37" s="4" t="n">
        <x:f>IF(OR(D37="",E37=""),"",D37-E37)</x:f>
        <x:v>0.038712133073806776</x:v>
      </x:c>
      <x:c r="I37" s="5" t="n">
        <x:f>IFERROR(H37/D37,"")</x:f>
        <x:v>0.12293468743666806</x:v>
      </x:c>
      <x:c r="J37" s="4" t="n">
        <x:f>IF(OR(D37="",F37=""),"",D37-F37)</x:f>
        <x:v>0.0388106595516205</x:v>
      </x:c>
      <x:c r="K37" s="5" t="n">
        <x:f>IFERROR(J37/D37,"")</x:f>
        <x:v>0.12324756923347252</x:v>
      </x:c>
      <x:c r="L37" s="4" t="n">
        <x:f>IF(OR(E37="",G37=""),"",E37-G37)</x:f>
        <x:v>-0.0002507418394088745</x:v>
      </x:c>
      <x:c r="M37" s="5" t="n">
        <x:f>IFERROR(L37/E37,"")</x:f>
        <x:v>-0.0009078669609910171</x:v>
      </x:c>
      <x:c r="N37" s="4" t="n">
        <x:f>IF(OR(F37="",G37=""),"",F37-G37)</x:f>
        <x:v>-0.0003492683172225952</x:v>
      </x:c>
      <x:c r="O37" s="5" t="n">
        <x:f>IFERROR(N37/F37,"")</x:f>
        <x:v>-0.001265055422477993</x:v>
      </x:c>
      <x:c r="P37" t="str">
        <x:v>3 seeds: 0 1 2</x:v>
      </x:c>
      <x:c r="Q37" t="str">
        <x:v>2 seeds: 1 2</x:v>
      </x:c>
      <x:c r="R37" t="str">
        <x:v>2 seeds: 1 2</x:v>
      </x:c>
      <x:c r="S37" t="str">
        <x:v>2 seeds: 1 2</x:v>
      </x:c>
    </x:row>
    <x:row r="38">
      <x:c r="A38" t="str">
        <x:v>DLinear</x:v>
      </x:c>
      <x:c r="B38" t="str">
        <x:v>ETTm1</x:v>
      </x:c>
      <x:c r="C38" t="n">
        <x:v>96</x:v>
      </x:c>
      <x:c r="D38" s="4" t="n">
        <x:v>0.36196666666666666</x:v>
      </x:c>
      <x:c r="E38" s="4" t="n">
        <x:v>0.3495454490184784</x:v>
      </x:c>
      <x:c r="F38" s="4" t="n">
        <x:v>0.3441988527774811</x:v>
      </x:c>
      <x:c r="G38" s="4" t="n">
        <x:v>0.33328162133693695</x:v>
      </x:c>
      <x:c r="H38" s="4" t="n">
        <x:f>IF(OR(D38="",E38=""),"",D38-E38)</x:f>
        <x:v>0.012421217648188265</x:v>
      </x:c>
      <x:c r="I38" s="5" t="n">
        <x:f>IFERROR(H38/D38,"")</x:f>
        <x:v>0.03431591577913693</x:v>
      </x:c>
      <x:c r="J38" s="4" t="n">
        <x:f>IF(OR(D38="",F38=""),"",D38-F38)</x:f>
        <x:v>0.01776781388918558</x:v>
      </x:c>
      <x:c r="K38" s="5" t="n">
        <x:f>IFERROR(J38/D38,"")</x:f>
        <x:v>0.04908687878032668</x:v>
      </x:c>
      <x:c r="L38" s="4" t="n">
        <x:f>IF(OR(E38="",G38=""),"",E38-G38)</x:f>
        <x:v>0.016263827681541443</x:v>
      </x:c>
      <x:c r="M38" s="5" t="n">
        <x:f>IFERROR(L38/E38,"")</x:f>
        <x:v>0.04652850645662868</x:v>
      </x:c>
      <x:c r="N38" s="4" t="n">
        <x:f>IF(OR(F38="",G38=""),"",F38-G38)</x:f>
        <x:v>0.010917231440544128</x:v>
      </x:c>
      <x:c r="O38" s="5" t="n">
        <x:f>IFERROR(N38/F38,"")</x:f>
        <x:v>0.03171780310262085</x:v>
      </x:c>
      <x:c r="P38" t="str">
        <x:v>3 seeds: 0 1 2</x:v>
      </x:c>
      <x:c r="Q38" t="str">
        <x:v>2 seeds: 1 2</x:v>
      </x:c>
      <x:c r="R38" t="str">
        <x:v>2 seeds: 1 2</x:v>
      </x:c>
      <x:c r="S38" t="str">
        <x:v>2 seeds: 1 2</x:v>
      </x:c>
    </x:row>
    <x:row r="39">
      <x:c r="A39" t="str">
        <x:v>DLinear</x:v>
      </x:c>
      <x:c r="B39" t="str">
        <x:v>ETTm1</x:v>
      </x:c>
      <x:c r="C39" t="n">
        <x:v>192</x:v>
      </x:c>
      <x:c r="D39" s="4" t="n">
        <x:v>0.43206666666666665</x:v>
      </x:c>
      <x:c r="E39" s="4" t="n">
        <x:v>0.42623889446258545</x:v>
      </x:c>
      <x:c r="F39" s="4" t="n">
        <x:v>0.41739726066589355</x:v>
      </x:c>
      <x:c r="G39" s="4" t="n">
        <x:v>0.39872419834136963</x:v>
      </x:c>
      <x:c r="H39" s="4" t="n">
        <x:f>IF(OR(D39="",E39=""),"",D39-E39)</x:f>
        <x:v>0.005827772204081205</x:v>
      </x:c>
      <x:c r="I39" s="5" t="n">
        <x:f>IFERROR(H39/D39,"")</x:f>
        <x:v>0.013488131933531567</x:v>
      </x:c>
      <x:c r="J39" s="4" t="n">
        <x:f>IF(OR(D39="",F39=""),"",D39-F39)</x:f>
        <x:v>0.0146694060007731</x:v>
      </x:c>
      <x:c r="K39" s="5" t="n">
        <x:f>IFERROR(J39/D39,"")</x:f>
        <x:v>0.033951718872333975</x:v>
      </x:c>
      <x:c r="L39" s="4" t="n">
        <x:f>IF(OR(E39="",G39=""),"",E39-G39)</x:f>
        <x:v>0.02751469612121582</x:v>
      </x:c>
      <x:c r="M39" s="5" t="n">
        <x:f>IFERROR(L39/E39,"")</x:f>
        <x:v>0.06455228858433287</x:v>
      </x:c>
      <x:c r="N39" s="4" t="n">
        <x:f>IF(OR(F39="",G39=""),"",F39-G39)</x:f>
        <x:v>0.018673062324523926</x:v>
      </x:c>
      <x:c r="O39" s="5" t="n">
        <x:f>IFERROR(N39/F39,"")</x:f>
        <x:v>0.04473690674139526</x:v>
      </x:c>
      <x:c r="P39" t="str">
        <x:v>3 seeds: 0 1 2</x:v>
      </x:c>
      <x:c r="Q39" t="str">
        <x:v>2 seeds: 1 2</x:v>
      </x:c>
      <x:c r="R39" t="str">
        <x:v>2 seeds: 1 2</x:v>
      </x:c>
      <x:c r="S39" t="str">
        <x:v>2 seeds: 1 2</x:v>
      </x:c>
    </x:row>
    <x:row r="40">
      <x:c r="A40" t="str">
        <x:v>DLinear</x:v>
      </x:c>
      <x:c r="B40" t="str">
        <x:v>ETTm1</x:v>
      </x:c>
      <x:c r="C40" t="n">
        <x:v>336</x:v>
      </x:c>
      <x:c r="D40" s="4" t="n">
        <x:v>0.5048666666666667</x:v>
      </x:c>
      <x:c r="E40" s="4" t="n">
        <x:v>0.5020084381103516</x:v>
      </x:c>
      <x:c r="F40" s="4" t="n">
        <x:v>0.4979887306690216</x:v>
      </x:c>
      <x:c r="G40" s="4" t="n">
        <x:v>0.45435258746147156</x:v>
      </x:c>
      <x:c r="H40" s="4" t="n">
        <x:f>IF(OR(D40="",E40=""),"",D40-E40)</x:f>
        <x:v>0.0028582285563151233</x:v>
      </x:c>
      <x:c r="I40" s="5" t="n">
        <x:f>IFERROR(H40/D40,"")</x:f>
        <x:v>0.005661353274095715</x:v>
      </x:c>
      <x:c r="J40" s="4" t="n">
        <x:f>IF(OR(D40="",F40=""),"",D40-F40)</x:f>
        <x:v>0.006877935997645079</x:v>
      </x:c>
      <x:c r="K40" s="5" t="n">
        <x:f>IFERROR(J40/D40,"")</x:f>
        <x:v>0.013623272146398545</x:v>
      </x:c>
      <x:c r="L40" s="4" t="n">
        <x:f>IF(OR(E40="",G40=""),"",E40-G40)</x:f>
        <x:v>0.047655850648880005</x:v>
      </x:c>
      <x:c r="M40" s="5" t="n">
        <x:f>IFERROR(L40/E40,"")</x:f>
        <x:v>0.09493037772087068</x:v>
      </x:c>
      <x:c r="N40" s="4" t="n">
        <x:f>IF(OR(F40="",G40=""),"",F40-G40)</x:f>
        <x:v>0.04363614320755005</x:v>
      </x:c>
      <x:c r="O40" s="5" t="n">
        <x:f>IFERROR(N40/F40,"")</x:f>
        <x:v>0.08762476040156007</x:v>
      </x:c>
      <x:c r="P40" t="str">
        <x:v>3 seeds: 0 1 2</x:v>
      </x:c>
      <x:c r="Q40" t="str">
        <x:v>2 seeds: 1 2</x:v>
      </x:c>
      <x:c r="R40" t="str">
        <x:v>2 seeds: 1 2</x:v>
      </x:c>
      <x:c r="S40" t="str">
        <x:v>2 seeds: 1 2</x:v>
      </x:c>
    </x:row>
    <x:row r="41">
      <x:c r="A41" t="str">
        <x:v>DLinear</x:v>
      </x:c>
      <x:c r="B41" t="str">
        <x:v>ETTm1</x:v>
      </x:c>
      <x:c r="C41" t="n">
        <x:v>720</x:v>
      </x:c>
      <x:c r="D41" s="4" t="n">
        <x:v>0.5797666666666667</x:v>
      </x:c>
      <x:c r="E41" s="4" t="n">
        <x:v>0.5418244004249573</x:v>
      </x:c>
      <x:c r="F41" s="4" t="n">
        <x:v>0.5818107724189758</x:v>
      </x:c>
      <x:c r="G41" s="4" t="n">
        <x:v>0.4653928130865097</x:v>
      </x:c>
      <x:c r="H41" s="4" t="n">
        <x:f>IF(OR(D41="",E41=""),"",D41-E41)</x:f>
        <x:v>0.03794226624170938</x:v>
      </x:c>
      <x:c r="I41" s="5" t="n">
        <x:f>IFERROR(H41/D41,"")</x:f>
        <x:v>0.06544402847417244</x:v>
      </x:c>
      <x:c r="J41" s="4" t="n">
        <x:f>IF(OR(D41="",F41=""),"",D41-F41)</x:f>
        <x:v>-0.0020441057523091777</x:v>
      </x:c>
      <x:c r="K41" s="5" t="n">
        <x:f>IFERROR(J41/D41,"")</x:f>
        <x:v>-0.003525738663213668</x:v>
      </x:c>
      <x:c r="L41" s="4" t="n">
        <x:f>IF(OR(E41="",G41=""),"",E41-G41)</x:f>
        <x:v>0.07643158733844757</x:v>
      </x:c>
      <x:c r="M41" s="5" t="n">
        <x:f>IFERROR(L41/E41,"")</x:f>
        <x:v>0.14106339116234273</x:v>
      </x:c>
      <x:c r="N41" s="4" t="n">
        <x:f>IF(OR(F41="",G41=""),"",F41-G41)</x:f>
        <x:v>0.11641795933246613</x:v>
      </x:c>
      <x:c r="O41" s="5" t="n">
        <x:f>IFERROR(N41/F41,"")</x:f>
        <x:v>0.20009591580513186</x:v>
      </x:c>
      <x:c r="P41" t="str">
        <x:v>3 seeds: 0 1 2</x:v>
      </x:c>
      <x:c r="Q41" t="str">
        <x:v>2 seeds: 1 2</x:v>
      </x:c>
      <x:c r="R41" t="str">
        <x:v>2 seeds: 1 2</x:v>
      </x:c>
      <x:c r="S41" t="str">
        <x:v>2 seeds: 1 2</x:v>
      </x:c>
    </x:row>
    <x:row r="42">
      <x:c r="A42" t="str">
        <x:v>DLinear</x:v>
      </x:c>
      <x:c r="B42" t="str">
        <x:v>ETTm2</x:v>
      </x:c>
      <x:c r="C42" t="n">
        <x:v>96</x:v>
      </x:c>
      <x:c r="D42" s="4" t="n">
        <x:v>0.1211</x:v>
      </x:c>
      <x:c r="E42" s="4" t="n">
        <x:v>0.12250127270817757</x:v>
      </x:c>
      <x:c r="F42" s="4" t="n">
        <x:v>0.12170587480068207</x:v>
      </x:c>
      <x:c r="G42" s="4" t="n">
        <x:v>0.11735377833247185</x:v>
      </x:c>
      <x:c r="H42" s="4" t="n">
        <x:f>IF(OR(D42="",E42=""),"",D42-E42)</x:f>
        <x:v>-0.0014012727081775672</x:v>
      </x:c>
      <x:c r="I42" s="5" t="n">
        <x:f>IFERROR(H42/D42,"")</x:f>
        <x:v>-0.011571203205429953</x:v>
      </x:c>
      <x:c r="J42" s="4" t="n">
        <x:f>IF(OR(D42="",F42=""),"",D42-F42)</x:f>
        <x:v>-0.0006058748006820686</x:v>
      </x:c>
      <x:c r="K42" s="5" t="n">
        <x:f>IFERROR(J42/D42,"")</x:f>
        <x:v>-0.005003094968472903</x:v>
      </x:c>
      <x:c r="L42" s="4" t="n">
        <x:f>IF(OR(E42="",G42=""),"",E42-G42)</x:f>
        <x:v>0.005147494375705719</x:v>
      </x:c>
      <x:c r="M42" s="5" t="n">
        <x:f>IFERROR(L42/E42,"")</x:f>
        <x:v>0.04201992568655247</x:v>
      </x:c>
      <x:c r="N42" s="4" t="n">
        <x:f>IF(OR(F42="",G42=""),"",F42-G42)</x:f>
        <x:v>0.00435209646821022</x:v>
      </x:c>
      <x:c r="O42" s="5" t="n">
        <x:f>IFERROR(N42/F42,"")</x:f>
        <x:v>0.035759132213935084</x:v>
      </x:c>
      <x:c r="P42" t="str">
        <x:v>3 seeds: 0 1 2</x:v>
      </x:c>
      <x:c r="Q42" t="str">
        <x:v>2 seeds: 1 2</x:v>
      </x:c>
      <x:c r="R42" t="str">
        <x:v>2 seeds: 1 2</x:v>
      </x:c>
      <x:c r="S42" t="str">
        <x:v>2 seeds: 1 2</x:v>
      </x:c>
    </x:row>
    <x:row r="43">
      <x:c r="A43" t="str">
        <x:v>DLinear</x:v>
      </x:c>
      <x:c r="B43" t="str">
        <x:v>ETTm2</x:v>
      </x:c>
      <x:c r="C43" t="n">
        <x:v>192</x:v>
      </x:c>
      <x:c r="D43" s="4" t="n">
        <x:v>0.14923333333333333</x:v>
      </x:c>
      <x:c r="E43" s="4" t="n">
        <x:v>0.16379431635141373</x:v>
      </x:c>
      <x:c r="F43" s="4" t="n">
        <x:v>0.15435341745615005</x:v>
      </x:c>
      <x:c r="G43" s="4" t="n">
        <x:v>0.15472237020730972</x:v>
      </x:c>
      <x:c r="H43" s="4" t="n">
        <x:f>IF(OR(D43="",E43=""),"",D43-E43)</x:f>
        <x:v>-0.014560983018080398</x:v>
      </x:c>
      <x:c r="I43" s="5" t="n">
        <x:f>IFERROR(H43/D43,"")</x:f>
        <x:v>-0.09757192105034888</x:v>
      </x:c>
      <x:c r="J43" s="4" t="n">
        <x:f>IF(OR(D43="",F43=""),"",D43-F43)</x:f>
        <x:v>-0.005120084122816726</x:v>
      </x:c>
      <x:c r="K43" s="5" t="n">
        <x:f>IFERROR(J43/D43,"")</x:f>
        <x:v>-0.034309252554054454</x:v>
      </x:c>
      <x:c r="L43" s="4" t="n">
        <x:f>IF(OR(E43="",G43=""),"",E43-G43)</x:f>
        <x:v>0.009071946144104004</x:v>
      </x:c>
      <x:c r="M43" s="5" t="n">
        <x:f>IFERROR(L43/E43,"")</x:f>
        <x:v>0.055386208423987865</x:v>
      </x:c>
      <x:c r="N43" s="4" t="n">
        <x:f>IF(OR(F43="",G43=""),"",F43-G43)</x:f>
        <x:v>-0.00036895275115966797</x:v>
      </x:c>
      <x:c r="O43" s="5" t="n">
        <x:f>IFERROR(N43/F43,"")</x:f>
        <x:v>-0.0023903115152243584</x:v>
      </x:c>
      <x:c r="P43" t="str">
        <x:v>3 seeds: 0 1 2</x:v>
      </x:c>
      <x:c r="Q43" t="str">
        <x:v>2 seeds: 1 2</x:v>
      </x:c>
      <x:c r="R43" t="str">
        <x:v>2 seeds: 1 2</x:v>
      </x:c>
      <x:c r="S43" t="str">
        <x:v>2 seeds: 1 2</x:v>
      </x:c>
    </x:row>
    <x:row r="44">
      <x:c r="A44" t="str">
        <x:v>DLinear</x:v>
      </x:c>
      <x:c r="B44" t="str">
        <x:v>ETTm2</x:v>
      </x:c>
      <x:c r="C44" t="n">
        <x:v>336</x:v>
      </x:c>
      <x:c r="D44" s="4" t="n">
        <x:v>0.1827</x:v>
      </x:c>
      <x:c r="E44" s="4" t="n">
        <x:v>0.1895742043852806</x:v>
      </x:c>
      <x:c r="F44" s="4" t="n">
        <x:v>0.19229884445667267</x:v>
      </x:c>
      <x:c r="G44" s="4" t="n">
        <x:v>0.16367222368717194</x:v>
      </x:c>
      <x:c r="H44" s="4" t="n">
        <x:f>IF(OR(D44="",E44=""),"",D44-E44)</x:f>
        <x:v>-0.006874204385280608</x:v>
      </x:c>
      <x:c r="I44" s="5" t="n">
        <x:f>IFERROR(H44/D44,"")</x:f>
        <x:v>-0.03762563976617738</x:v>
      </x:c>
      <x:c r="J44" s="4" t="n">
        <x:f>IF(OR(D44="",F44=""),"",D44-F44)</x:f>
        <x:v>-0.009598844456672667</x:v>
      </x:c>
      <x:c r="K44" s="5" t="n">
        <x:f>IFERROR(J44/D44,"")</x:f>
        <x:v>-0.052538831180474366</x:v>
      </x:c>
      <x:c r="L44" s="4" t="n">
        <x:f>IF(OR(E44="",G44=""),"",E44-G44)</x:f>
        <x:v>0.025901980698108673</x:v>
      </x:c>
      <x:c r="M44" s="5" t="n">
        <x:f>IFERROR(L44/E44,"")</x:f>
        <x:v>0.13663241147232696</x:v>
      </x:c>
      <x:c r="N44" s="4" t="n">
        <x:f>IF(OR(F44="",G44=""),"",F44-G44)</x:f>
        <x:v>0.028626620769500732</x:v>
      </x:c>
      <x:c r="O44" s="5" t="n">
        <x:f>IFERROR(N44/F44,"")</x:f>
        <x:v>0.1488652771179323</x:v>
      </x:c>
      <x:c r="P44" t="str">
        <x:v>3 seeds: 0 1 2</x:v>
      </x:c>
      <x:c r="Q44" t="str">
        <x:v>2 seeds: 1 2</x:v>
      </x:c>
      <x:c r="R44" t="str">
        <x:v>2 seeds: 1 2</x:v>
      </x:c>
      <x:c r="S44" t="str">
        <x:v>2 seeds: 1 2</x:v>
      </x:c>
    </x:row>
    <x:row r="45">
      <x:c r="A45" t="str">
        <x:v>DLinear</x:v>
      </x:c>
      <x:c r="B45" t="str">
        <x:v>ETTm2</x:v>
      </x:c>
      <x:c r="C45" t="n">
        <x:v>720</x:v>
      </x:c>
      <x:c r="D45" s="4" t="n">
        <x:v>0.24096666666666666</x:v>
      </x:c>
      <x:c r="E45" s="4" t="n">
        <x:v>0.21949848532676697</x:v>
      </x:c>
      <x:c r="F45" s="4" t="n">
        <x:v>0.2480584904551506</x:v>
      </x:c>
      <x:c r="G45" s="4" t="n">
        <x:v>0.17237059772014618</x:v>
      </x:c>
      <x:c r="H45" s="4" t="n">
        <x:f>IF(OR(D45="",E45=""),"",D45-E45)</x:f>
        <x:v>0.021468181339899695</x:v>
      </x:c>
      <x:c r="I45" s="5" t="n">
        <x:f>IFERROR(H45/D45,"")</x:f>
        <x:v>0.08909191315493026</x:v>
      </x:c>
      <x:c r="J45" s="4" t="n">
        <x:f>IF(OR(D45="",F45=""),"",D45-F45)</x:f>
        <x:v>-0.007091823788483942</x:v>
      </x:c>
      <x:c r="K45" s="5" t="n">
        <x:f>IFERROR(J45/D45,"")</x:f>
        <x:v>-0.02943072536374578</x:v>
      </x:c>
      <x:c r="L45" s="4" t="n">
        <x:f>IF(OR(E45="",G45=""),"",E45-G45)</x:f>
        <x:v>0.04712788760662079</x:v>
      </x:c>
      <x:c r="M45" s="5" t="n">
        <x:f>IFERROR(L45/E45,"")</x:f>
        <x:v>0.21470711989862523</x:v>
      </x:c>
      <x:c r="N45" s="4" t="n">
        <x:f>IF(OR(F45="",G45=""),"",F45-G45)</x:f>
        <x:v>0.07568789273500443</x:v>
      </x:c>
      <x:c r="O45" s="5" t="n">
        <x:f>IFERROR(N45/F45,"")</x:f>
        <x:v>0.3051211534671857</x:v>
      </x:c>
      <x:c r="P45" t="str">
        <x:v>3 seeds: 0 1 2</x:v>
      </x:c>
      <x:c r="Q45" t="str">
        <x:v>2 seeds: 1 2</x:v>
      </x:c>
      <x:c r="R45" t="str">
        <x:v>2 seeds: 1 2</x:v>
      </x:c>
      <x:c r="S45" t="str">
        <x:v>2 seeds: 1 2</x:v>
      </x:c>
    </x:row>
    <x:row r="46">
      <x:c r="A46" t="str">
        <x:v>DLinear</x:v>
      </x:c>
      <x:c r="B46" t="str">
        <x:v>Exchange Rate</x:v>
      </x:c>
      <x:c r="C46" t="n">
        <x:v>96</x:v>
      </x:c>
      <x:c r="D46" s="4" t="n">
        <x:v>0.0862</x:v>
      </x:c>
      <x:c r="E46" s="4" t="n">
        <x:v>0.08432021737098694</x:v>
      </x:c>
      <x:c r="F46" s="4" t="n">
        <x:v>0.08251798897981644</x:v>
      </x:c>
      <x:c r="G46" s="4" t="n">
        <x:v>0.08384042233228683</x:v>
      </x:c>
      <x:c r="H46" s="4" t="n">
        <x:f>IF(OR(D46="",E46=""),"",D46-E46)</x:f>
        <x:v>0.0018797826290130604</x:v>
      </x:c>
      <x:c r="I46" s="5" t="n">
        <x:f>IFERROR(H46/D46,"")</x:f>
        <x:v>0.021807223074397454</x:v>
      </x:c>
      <x:c r="J46" s="4" t="n">
        <x:f>IF(OR(D46="",F46=""),"",D46-F46)</x:f>
        <x:v>0.003682011020183562</x:v>
      </x:c>
      <x:c r="K46" s="5" t="n">
        <x:f>IFERROR(J46/D46,"")</x:f>
        <x:v>0.04271474501373042</x:v>
      </x:c>
      <x:c r="L46" s="4" t="n">
        <x:f>IF(OR(E46="",G46=""),"",E46-G46)</x:f>
        <x:v>0.00047979503870010376</x:v>
      </x:c>
      <x:c r="M46" s="5" t="n">
        <x:f>IFERROR(L46/E46,"")</x:f>
        <x:v>0.005690154196224742</x:v>
      </x:c>
      <x:c r="N46" s="4" t="n">
        <x:f>IF(OR(F46="",G46=""),"",F46-G46)</x:f>
        <x:v>-0.001322433352470398</x:v>
      </x:c>
      <x:c r="O46" s="5" t="n">
        <x:f>IFERROR(N46/F46,"")</x:f>
        <x:v>-0.01602600074020054</x:v>
      </x:c>
      <x:c r="P46" t="str">
        <x:v>3 seeds: 0 1 2</x:v>
      </x:c>
      <x:c r="Q46" t="str">
        <x:v>2 seeds: 1 2</x:v>
      </x:c>
      <x:c r="R46" t="str">
        <x:v>2 seeds: 1 2</x:v>
      </x:c>
      <x:c r="S46" t="str">
        <x:v>2 seeds: 1 2</x:v>
      </x:c>
    </x:row>
    <x:row r="47">
      <x:c r="A47" t="str">
        <x:v>DLinear</x:v>
      </x:c>
      <x:c r="B47" t="str">
        <x:v>Exchange Rate</x:v>
      </x:c>
      <x:c r="C47" t="n">
        <x:v>192</x:v>
      </x:c>
      <x:c r="D47" s="4" t="n">
        <x:v>0.17656666666666665</x:v>
      </x:c>
      <x:c r="E47" s="4" t="n">
        <x:v>0.15921810269355774</x:v>
      </x:c>
      <x:c r="F47" s="4" t="n">
        <x:v>0.16179503500461578</x:v>
      </x:c>
      <x:c r="G47" s="4" t="n">
        <x:v>0.15214408934116364</x:v>
      </x:c>
      <x:c r="H47" s="4" t="n">
        <x:f>IF(OR(D47="",E47=""),"",D47-E47)</x:f>
        <x:v>0.01734856397310891</x:v>
      </x:c>
      <x:c r="I47" s="5" t="n">
        <x:f>IFERROR(H47/D47,"")</x:f>
        <x:v>0.09825503477312958</x:v>
      </x:c>
      <x:c r="J47" s="4" t="n">
        <x:f>IF(OR(D47="",F47=""),"",D47-F47)</x:f>
        <x:v>0.014771631662050866</x:v>
      </x:c>
      <x:c r="K47" s="5" t="n">
        <x:f>IFERROR(J47/D47,"")</x:f>
        <x:v>0.08366036433104135</x:v>
      </x:c>
      <x:c r="L47" s="4" t="n">
        <x:f>IF(OR(E47="",G47=""),"",E47-G47)</x:f>
        <x:v>0.007074013352394104</x:v>
      </x:c>
      <x:c r="M47" s="5" t="n">
        <x:f>IFERROR(L47/E47,"")</x:f>
        <x:v>0.044429705119707674</x:v>
      </x:c>
      <x:c r="N47" s="4" t="n">
        <x:f>IF(OR(F47="",G47=""),"",F47-G47)</x:f>
        <x:v>0.009650945663452148</x:v>
      </x:c>
      <x:c r="O47" s="5" t="n">
        <x:f>IFERROR(N47/F47,"")</x:f>
        <x:v>0.05964920779662256</x:v>
      </x:c>
      <x:c r="P47" t="str">
        <x:v>3 seeds: 0 1 2</x:v>
      </x:c>
      <x:c r="Q47" t="str">
        <x:v>2 seeds: 1 2</x:v>
      </x:c>
      <x:c r="R47" t="str">
        <x:v>2 seeds: 1 2</x:v>
      </x:c>
      <x:c r="S47" t="str">
        <x:v>2 seeds: 1 2</x:v>
      </x:c>
    </x:row>
    <x:row r="48">
      <x:c r="A48" t="str">
        <x:v>DLinear</x:v>
      </x:c>
      <x:c r="B48" t="str">
        <x:v>Exchange Rate</x:v>
      </x:c>
      <x:c r="C48" t="n">
        <x:v>336</x:v>
      </x:c>
      <x:c r="D48" s="4" t="n">
        <x:v>0.32193333333333335</x:v>
      </x:c>
      <x:c r="E48" s="4" t="n">
        <x:v>0.21998795121908188</x:v>
      </x:c>
      <x:c r="F48" s="4" t="n">
        <x:v>0.276396244764328</x:v>
      </x:c>
      <x:c r="G48" s="4" t="n">
        <x:v>0.21114712208509445</x:v>
      </x:c>
      <x:c r="H48" s="4" t="n">
        <x:f>IF(OR(D48="",E48=""),"",D48-E48)</x:f>
        <x:v>0.10194538211425147</x:v>
      </x:c>
      <x:c r="I48" s="5" t="n">
        <x:f>IFERROR(H48/D48,"")</x:f>
        <x:v>0.31666612791753407</x:v>
      </x:c>
      <x:c r="J48" s="4" t="n">
        <x:f>IF(OR(D48="",F48=""),"",D48-F48)</x:f>
        <x:v>0.045537088569005346</x:v>
      </x:c>
      <x:c r="K48" s="5" t="n">
        <x:f>IFERROR(J48/D48,"")</x:f>
        <x:v>0.1414488151863906</x:v>
      </x:c>
      <x:c r="L48" s="4" t="n">
        <x:f>IF(OR(E48="",G48=""),"",E48-G48)</x:f>
        <x:v>0.008840829133987427</x:v>
      </x:c>
      <x:c r="M48" s="5" t="n">
        <x:f>IFERROR(L48/E48,"")</x:f>
        <x:v>0.04018778794472708</x:v>
      </x:c>
      <x:c r="N48" s="4" t="n">
        <x:f>IF(OR(F48="",G48=""),"",F48-G48)</x:f>
        <x:v>0.06524912267923355</x:v>
      </x:c>
      <x:c r="O48" s="5" t="n">
        <x:f>IFERROR(N48/F48,"")</x:f>
        <x:v>0.23607094493946132</x:v>
      </x:c>
      <x:c r="P48" t="str">
        <x:v>3 seeds: 0 1 2</x:v>
      </x:c>
      <x:c r="Q48" t="str">
        <x:v>2 seeds: 1 2</x:v>
      </x:c>
      <x:c r="R48" t="str">
        <x:v>2 seeds: 1 2</x:v>
      </x:c>
      <x:c r="S48" t="str">
        <x:v>2 seeds: 1 2</x:v>
      </x:c>
    </x:row>
    <x:row r="49">
      <x:c r="A49" t="str">
        <x:v>DLinear</x:v>
      </x:c>
      <x:c r="B49" t="str">
        <x:v>Exchange Rate</x:v>
      </x:c>
      <x:c r="C49" t="n">
        <x:v>720</x:v>
      </x:c>
      <x:c r="D49" s="4" t="n">
        <x:v>0.8387</x:v>
      </x:c>
      <x:c r="E49" s="4" t="n">
        <x:v>0.32716579735279083</x:v>
      </x:c>
      <x:c r="F49" s="4" t="n">
        <x:v>0.49323973059654236</x:v>
      </x:c>
      <x:c r="G49" s="4" t="n">
        <x:v>0.3222336918115616</x:v>
      </x:c>
      <x:c r="H49" s="4" t="n">
        <x:f>IF(OR(D49="",E49=""),"",D49-E49)</x:f>
        <x:v>0.5115342026472092</x:v>
      </x:c>
      <x:c r="I49" s="5" t="n">
        <x:f>IFERROR(H49/D49,"")</x:f>
        <x:v>0.6099132021547743</x:v>
      </x:c>
      <x:c r="J49" s="4" t="n">
        <x:f>IF(OR(D49="",F49=""),"",D49-F49)</x:f>
        <x:v>0.34546026940345764</x:v>
      </x:c>
      <x:c r="K49" s="5" t="n">
        <x:f>IFERROR(J49/D49,"")</x:f>
        <x:v>0.4118996892851528</x:v>
      </x:c>
      <x:c r="L49" s="4" t="n">
        <x:f>IF(OR(E49="",G49=""),"",E49-G49)</x:f>
        <x:v>0.004932105541229248</x:v>
      </x:c>
      <x:c r="M49" s="5" t="n">
        <x:f>IFERROR(L49/E49,"")</x:f>
        <x:v>0.015075248027564565</x:v>
      </x:c>
      <x:c r="N49" s="4" t="n">
        <x:f>IF(OR(F49="",G49=""),"",F49-G49)</x:f>
        <x:v>0.17100603878498077</x:v>
      </x:c>
      <x:c r="O49" s="5" t="n">
        <x:f>IFERROR(N49/F49,"")</x:f>
        <x:v>0.3466996435549905</x:v>
      </x:c>
      <x:c r="P49" t="str">
        <x:v>3 seeds: 0 1 2</x:v>
      </x:c>
      <x:c r="Q49" t="str">
        <x:v>2 seeds: 1 2</x:v>
      </x:c>
      <x:c r="R49" t="str">
        <x:v>2 seeds: 1 2</x:v>
      </x:c>
      <x:c r="S49" t="str">
        <x:v>2 seeds: 1 2</x:v>
      </x:c>
    </x:row>
    <x:row r="50">
      <x:c r="A50" t="str">
        <x:v>DLinear</x:v>
      </x:c>
      <x:c r="B50" t="str">
        <x:v>weather</x:v>
      </x:c>
      <x:c r="C50" t="n">
        <x:v>96</x:v>
      </x:c>
      <x:c r="D50" s="4" t="n">
        <x:v>0.19523333333333334</x:v>
      </x:c>
      <x:c r="E50" s="4" t="n">
        <x:v>0.18859661370515823</x:v>
      </x:c>
      <x:c r="F50" s="4" t="n">
        <x:v>0.18809332698583603</x:v>
      </x:c>
      <x:c r="G50" s="4" t="n">
        <x:v>0.18427637219429016</x:v>
      </x:c>
      <x:c r="H50" s="4" t="n">
        <x:f>IF(OR(D50="",E50=""),"",D50-E50)</x:f>
        <x:v>0.006636719628175108</x:v>
      </x:c>
      <x:c r="I50" s="5" t="n">
        <x:f>IFERROR(H50/D50,"")</x:f>
        <x:v>0.03399378330975811</x:v>
      </x:c>
      <x:c r="J50" s="4" t="n">
        <x:f>IF(OR(D50="",F50=""),"",D50-F50)</x:f>
        <x:v>0.007140006347497313</x:v>
      </x:c>
      <x:c r="K50" s="5" t="n">
        <x:f>IFERROR(J50/D50,"")</x:f>
        <x:v>0.03657165621050357</x:v>
      </x:c>
      <x:c r="L50" s="4" t="n">
        <x:f>IF(OR(E50="",G50=""),"",E50-G50)</x:f>
        <x:v>0.0043202415108680725</x:v>
      </x:c>
      <x:c r="M50" s="5" t="n">
        <x:f>IFERROR(L50/E50,"")</x:f>
        <x:v>0.022907312204566436</x:v>
      </x:c>
      <x:c r="N50" s="4" t="n">
        <x:f>IF(OR(F50="",G50=""),"",F50-G50)</x:f>
        <x:v>0.003816954791545868</x:v>
      </x:c>
      <x:c r="O50" s="5" t="n">
        <x:f>IFERROR(N50/F50,"")</x:f>
        <x:v>0.020292877225959727</x:v>
      </x:c>
      <x:c r="P50" t="str">
        <x:v>3 seeds: 0 1 2</x:v>
      </x:c>
      <x:c r="Q50" t="str">
        <x:v>2 seeds: 1 2</x:v>
      </x:c>
      <x:c r="R50" t="str">
        <x:v>2 seeds: 1 2</x:v>
      </x:c>
      <x:c r="S50" t="str">
        <x:v>2 seeds: 1 2</x:v>
      </x:c>
    </x:row>
    <x:row r="51">
      <x:c r="A51" t="str">
        <x:v>DLinear</x:v>
      </x:c>
      <x:c r="B51" t="str">
        <x:v>weather</x:v>
      </x:c>
      <x:c r="C51" t="n">
        <x:v>192</x:v>
      </x:c>
      <x:c r="D51" s="4" t="n">
        <x:v>0.24016666666666667</x:v>
      </x:c>
      <x:c r="E51" s="4" t="n">
        <x:v>0.24252643436193466</x:v>
      </x:c>
      <x:c r="F51" s="4" t="n">
        <x:v>0.24226956814527512</x:v>
      </x:c>
      <x:c r="G51" s="4" t="n">
        <x:v>0.2268565148115158</x:v>
      </x:c>
      <x:c r="H51" s="4" t="n">
        <x:f>IF(OR(D51="",E51=""),"",D51-E51)</x:f>
        <x:v>-0.0023597676952679947</x:v>
      </x:c>
      <x:c r="I51" s="5" t="n">
        <x:f>IFERROR(H51/D51,"")</x:f>
        <x:v>-0.009825542103822324</x:v>
      </x:c>
      <x:c r="J51" s="4" t="n">
        <x:f>IF(OR(D51="",F51=""),"",D51-F51)</x:f>
        <x:v>-0.0021029014786084488</x:v>
      </x:c>
      <x:c r="K51" s="5" t="n">
        <x:f>IFERROR(J51/D51,"")</x:f>
        <x:v>-0.00875600893244323</x:v>
      </x:c>
      <x:c r="L51" s="4" t="n">
        <x:f>IF(OR(E51="",G51=""),"",E51-G51)</x:f>
        <x:v>0.015669919550418854</x:v>
      </x:c>
      <x:c r="M51" s="5" t="n">
        <x:f>IFERROR(L51/E51,"")</x:f>
        <x:v>0.0646111818352709</x:v>
      </x:c>
      <x:c r="N51" s="4" t="n">
        <x:f>IF(OR(F51="",G51=""),"",F51-G51)</x:f>
        <x:v>0.015413053333759308</x:v>
      </x:c>
      <x:c r="O51" s="5" t="n">
        <x:f>IFERROR(N51/F51,"")</x:f>
        <x:v>0.06361943619974997</x:v>
      </x:c>
      <x:c r="P51" t="str">
        <x:v>3 seeds: 0 1 2</x:v>
      </x:c>
      <x:c r="Q51" t="str">
        <x:v>2 seeds: 1 2</x:v>
      </x:c>
      <x:c r="R51" t="str">
        <x:v>2 seeds: 1 2</x:v>
      </x:c>
      <x:c r="S51" t="str">
        <x:v>2 seeds: 1 2</x:v>
      </x:c>
    </x:row>
    <x:row r="52">
      <x:c r="A52" t="str">
        <x:v>DLinear</x:v>
      </x:c>
      <x:c r="B52" t="str">
        <x:v>weather</x:v>
      </x:c>
      <x:c r="C52" t="n">
        <x:v>336</x:v>
      </x:c>
      <x:c r="D52" s="4" t="n">
        <x:v>0.2917666666666667</x:v>
      </x:c>
      <x:c r="E52" s="4" t="n">
        <x:v>0.309137687087059</x:v>
      </x:c>
      <x:c r="F52" s="4" t="n">
        <x:v>0.3494512736797333</x:v>
      </x:c>
      <x:c r="G52" s="4" t="n">
        <x:v>0.23343678563833237</x:v>
      </x:c>
      <x:c r="H52" s="4" t="n">
        <x:f>IF(OR(D52="",E52=""),"",D52-E52)</x:f>
        <x:v>-0.017371020420392347</x:v>
      </x:c>
      <x:c r="I52" s="5" t="n">
        <x:f>IFERROR(H52/D52,"")</x:f>
        <x:v>-0.05953737148540733</x:v>
      </x:c>
      <x:c r="J52" s="4" t="n">
        <x:f>IF(OR(D52="",F52=""),"",D52-F52)</x:f>
        <x:v>-0.0576846070130666</x:v>
      </x:c>
      <x:c r="K52" s="5" t="n">
        <x:f>IFERROR(J52/D52,"")</x:f>
        <x:v>-0.1977080098699872</x:v>
      </x:c>
      <x:c r="L52" s="4" t="n">
        <x:f>IF(OR(E52="",G52=""),"",E52-G52)</x:f>
        <x:v>0.07570090144872665</x:v>
      </x:c>
      <x:c r="M52" s="5" t="n">
        <x:f>IFERROR(L52/E52,"")</x:f>
        <x:v>0.24487762123745155</x:v>
      </x:c>
      <x:c r="N52" s="4" t="n">
        <x:f>IF(OR(F52="",G52=""),"",F52-G52)</x:f>
        <x:v>0.11601448804140091</x:v>
      </x:c>
      <x:c r="O52" s="5" t="n">
        <x:f>IFERROR(N52/F52,"")</x:f>
        <x:v>0.3319904569806387</x:v>
      </x:c>
      <x:c r="P52" t="str">
        <x:v>3 seeds: 0 1 2</x:v>
      </x:c>
      <x:c r="Q52" t="str">
        <x:v>2 seeds: 1 2</x:v>
      </x:c>
      <x:c r="R52" t="str">
        <x:v>2 seeds: 1 2</x:v>
      </x:c>
      <x:c r="S52" t="str">
        <x:v>2 seeds: 1 2</x:v>
      </x:c>
    </x:row>
    <x:row r="53">
      <x:c r="A53" t="str">
        <x:v>DLinear</x:v>
      </x:c>
      <x:c r="B53" t="str">
        <x:v>weather</x:v>
      </x:c>
      <x:c r="C53" t="n">
        <x:v>720</x:v>
      </x:c>
      <x:c r="D53" s="4" t="n">
        <x:v>0.36433333333333334</x:v>
      </x:c>
      <x:c r="E53" s="4" t="n">
        <x:v>0.335310623049736</x:v>
      </x:c>
      <x:c r="F53" s="4" t="n">
        <x:v>0.372201532125473</x:v>
      </x:c>
      <x:c r="G53" s="4" t="n">
        <x:v>0.22317377477884293</x:v>
      </x:c>
      <x:c r="H53" s="4" t="n">
        <x:f>IF(OR(D53="",E53=""),"",D53-E53)</x:f>
        <x:v>0.02902271028359732</x:v>
      </x:c>
      <x:c r="I53" s="5" t="n">
        <x:f>IFERROR(H53/D53,"")</x:f>
        <x:v>0.07965977205012988</x:v>
      </x:c>
      <x:c r="J53" s="4" t="n">
        <x:f>IF(OR(D53="",F53=""),"",D53-F53)</x:f>
        <x:v>-0.00786819879213968</x:v>
      </x:c>
      <x:c r="K53" s="5" t="n">
        <x:f>IFERROR(J53/D53,"")</x:f>
        <x:v>-0.02159615404978869</x:v>
      </x:c>
      <x:c r="L53" s="4" t="n">
        <x:f>IF(OR(E53="",G53=""),"",E53-G53)</x:f>
        <x:v>0.1121368482708931</x:v>
      </x:c>
      <x:c r="M53" s="5" t="n">
        <x:f>IFERROR(L53/E53,"")</x:f>
        <x:v>0.33442676897910284</x:v>
      </x:c>
      <x:c r="N53" s="4" t="n">
        <x:f>IF(OR(F53="",G53=""),"",F53-G53)</x:f>
        <x:v>0.1490277573466301</x:v>
      </x:c>
      <x:c r="O53" s="5" t="n">
        <x:f>IFERROR(N53/F53,"")</x:f>
        <x:v>0.40039533554738643</x:v>
      </x:c>
      <x:c r="P53" t="str">
        <x:v>3 seeds: 0 1 2</x:v>
      </x:c>
      <x:c r="Q53" t="str">
        <x:v>2 seeds: 1 2</x:v>
      </x:c>
      <x:c r="R53" t="str">
        <x:v>2 seeds: 1 2</x:v>
      </x:c>
      <x:c r="S53" t="str">
        <x:v>2 seeds: 1 2</x:v>
      </x:c>
    </x:row>
    <x:row r="54">
      <x:c r="A54" t="str">
        <x:v>DLinear</x:v>
      </x:c>
      <x:c r="B54" t="str">
        <x:v>electricity</x:v>
      </x:c>
      <x:c r="C54" t="n">
        <x:v>96</x:v>
      </x:c>
      <x:c r="D54" s="4" t="n">
        <x:v>0.2078</x:v>
      </x:c>
      <x:c r="E54" s="4" t="n">
        <x:v>0.2065176119407018</x:v>
      </x:c>
      <x:c r="F54" s="4" t="n">
        <x:v>0.2072960982720057</x:v>
      </x:c>
      <x:c r="G54" s="4" t="n">
        <x:v>0.20203814407189688</x:v>
      </x:c>
      <x:c r="H54" s="4" t="n">
        <x:f>IF(OR(D54="",E54=""),"",D54-E54)</x:f>
        <x:v>0.0012823880592982007</x:v>
      </x:c>
      <x:c r="I54" s="5" t="n">
        <x:f>IFERROR(H54/D54,"")</x:f>
        <x:v>0.00617126111308085</x:v>
      </x:c>
      <x:c r="J54" s="4" t="n">
        <x:f>IF(OR(D54="",F54=""),"",D54-F54)</x:f>
        <x:v>0.0005039017279943048</x:v>
      </x:c>
      <x:c r="K54" s="5" t="n">
        <x:f>IFERROR(J54/D54,"")</x:f>
        <x:v>0.0024249361308676842</x:v>
      </x:c>
      <x:c r="L54" s="4" t="n">
        <x:f>IF(OR(E54="",G54=""),"",E54-G54)</x:f>
        <x:v>0.004479467868804932</x:v>
      </x:c>
      <x:c r="M54" s="5" t="n">
        <x:f>IFERROR(L54/E54,"")</x:f>
        <x:v>0.021690488412635423</x:v>
      </x:c>
      <x:c r="N54" s="4" t="n">
        <x:f>IF(OR(F54="",G54=""),"",F54-G54)</x:f>
        <x:v>0.0052579542001088275</x:v>
      </x:c>
      <x:c r="O54" s="5" t="n">
        <x:f>IFERROR(N54/F54,"")</x:f>
        <x:v>0.025364462929782446</x:v>
      </x:c>
      <x:c r="P54" t="str">
        <x:v>3 seeds: 0 1 2</x:v>
      </x:c>
      <x:c r="Q54" t="str">
        <x:v>3 seeds: 0 1 2</x:v>
      </x:c>
      <x:c r="R54" t="str">
        <x:v>3 seeds: 0 1 2</x:v>
      </x:c>
      <x:c r="S54" t="str">
        <x:v>3 seeds: 0 1 2</x:v>
      </x:c>
    </x:row>
    <x:row r="55">
      <x:c r="A55" t="str">
        <x:v>DLinear</x:v>
      </x:c>
      <x:c r="B55" t="str">
        <x:v>electricity</x:v>
      </x:c>
      <x:c r="C55" t="n">
        <x:v>192</x:v>
      </x:c>
      <x:c r="D55" s="4" t="n">
        <x:v>0.2081</x:v>
      </x:c>
      <x:c r="E55" s="4" t="n">
        <x:v>0.20600292086601257</x:v>
      </x:c>
      <x:c r="F55" s="4" t="n">
        <x:v>0.20497173070907593</x:v>
      </x:c>
      <x:c r="G55" s="4" t="n">
        <x:v>0.20206349591414133</x:v>
      </x:c>
      <x:c r="H55" s="4" t="n">
        <x:f>IF(OR(D55="",E55=""),"",D55-E55)</x:f>
        <x:v>0.002097079133987434</x:v>
      </x:c>
      <x:c r="I55" s="5" t="n">
        <x:f>IFERROR(H55/D55,"")</x:f>
        <x:v>0.010077266381486948</x:v>
      </x:c>
      <x:c r="J55" s="4" t="n">
        <x:f>IF(OR(D55="",F55=""),"",D55-F55)</x:f>
        <x:v>0.0031282692909240795</x:v>
      </x:c>
      <x:c r="K55" s="5" t="n">
        <x:f>IFERROR(J55/D55,"")</x:f>
        <x:v>0.015032529028948003</x:v>
      </x:c>
      <x:c r="L55" s="4" t="n">
        <x:f>IF(OR(E55="",G55=""),"",E55-G55)</x:f>
        <x:v>0.003939424951871245</x:v>
      </x:c>
      <x:c r="M55" s="5" t="n">
        <x:f>IFERROR(L55/E55,"")</x:f>
        <x:v>0.019123150950046516</x:v>
      </x:c>
      <x:c r="N55" s="4" t="n">
        <x:f>IF(OR(F55="",G55=""),"",F55-G55)</x:f>
        <x:v>0.0029082347949346</x:v>
      </x:c>
      <x:c r="O55" s="5" t="n">
        <x:f>IFERROR(N55/F55,"")</x:f>
        <x:v>0.014188467770037844</x:v>
      </x:c>
      <x:c r="P55" t="str">
        <x:v>3 seeds: 0 1 2</x:v>
      </x:c>
      <x:c r="Q55" t="str">
        <x:v>3 seeds: 0 1 2</x:v>
      </x:c>
      <x:c r="R55" t="str">
        <x:v>3 seeds: 0 1 2</x:v>
      </x:c>
      <x:c r="S55" t="str">
        <x:v>3 seeds: 0 1 2</x:v>
      </x:c>
    </x:row>
    <x:row r="56">
      <x:c r="A56" t="str">
        <x:v>DLinear</x:v>
      </x:c>
      <x:c r="B56" t="str">
        <x:v>electricity</x:v>
      </x:c>
      <x:c r="C56" t="n">
        <x:v>336</x:v>
      </x:c>
      <x:c r="D56" s="4" t="n">
        <x:v>0.2228</x:v>
      </x:c>
      <x:c r="E56" s="4" t="n">
        <x:v>0.21519512931505838</x:v>
      </x:c>
      <x:c r="F56" s="4" t="n">
        <x:v>0.2121786574522654</x:v>
      </x:c>
      <x:c r="G56" s="4" t="n">
        <x:v>0.21033125619093576</x:v>
      </x:c>
      <x:c r="H56" s="4" t="n">
        <x:f>IF(OR(D56="",E56=""),"",D56-E56)</x:f>
        <x:v>0.007604870684941617</x:v>
      </x:c>
      <x:c r="I56" s="5" t="n">
        <x:f>IFERROR(H56/D56,"")</x:f>
        <x:v>0.03413317183546507</x:v>
      </x:c>
      <x:c r="J56" s="4" t="n">
        <x:f>IF(OR(D56="",F56=""),"",D56-F56)</x:f>
        <x:v>0.010621342547734586</x:v>
      </x:c>
      <x:c r="K56" s="5" t="n">
        <x:f>IFERROR(J56/D56,"")</x:f>
        <x:v>0.04767209402035272</x:v>
      </x:c>
      <x:c r="L56" s="4" t="n">
        <x:f>IF(OR(E56="",G56=""),"",E56-G56)</x:f>
        <x:v>0.00486387312412262</x:v>
      </x:c>
      <x:c r="M56" s="5" t="n">
        <x:f>IFERROR(L56/E56,"")</x:f>
        <x:v>0.022602152472520055</x:v>
      </x:c>
      <x:c r="N56" s="4" t="n">
        <x:f>IF(OR(F56="",G56=""),"",F56-G56)</x:f>
        <x:v>0.0018474012613296509</x:v>
      </x:c>
      <x:c r="O56" s="5" t="n">
        <x:f>IFERROR(N56/F56,"")</x:f>
        <x:v>0.00870681944881882</x:v>
      </x:c>
      <x:c r="P56" t="str">
        <x:v>3 seeds: 0 1 2</x:v>
      </x:c>
      <x:c r="Q56" t="str">
        <x:v>3 seeds: 0 1 2</x:v>
      </x:c>
      <x:c r="R56" t="str">
        <x:v>3 seeds: 0 1 2</x:v>
      </x:c>
      <x:c r="S56" t="str">
        <x:v>3 seeds: 0 1 2</x:v>
      </x:c>
    </x:row>
    <x:row r="57">
      <x:c r="A57" t="str">
        <x:v>DLinear</x:v>
      </x:c>
      <x:c r="B57" t="str">
        <x:v>electricity</x:v>
      </x:c>
      <x:c r="C57" t="n">
        <x:v>720</x:v>
      </x:c>
      <x:c r="D57" s="4" t="n">
        <x:v>0.2644</x:v>
      </x:c>
      <x:c r="E57" s="4" t="n">
        <x:v>0.24343651036421457</x:v>
      </x:c>
      <x:c r="F57" s="4" t="n">
        <x:v>0.23733621339003244</x:v>
      </x:c>
      <x:c r="G57" s="4" t="n">
        <x:v>0.2230801284313202</x:v>
      </x:c>
      <x:c r="H57" s="4" t="n">
        <x:f>IF(OR(D57="",E57=""),"",D57-E57)</x:f>
        <x:v>0.020963489635785454</x:v>
      </x:c>
      <x:c r="I57" s="5" t="n">
        <x:f>IFERROR(H57/D57,"")</x:f>
        <x:v>0.07928702585395406</x:v>
      </x:c>
      <x:c r="J57" s="4" t="n">
        <x:f>IF(OR(D57="",F57=""),"",D57-F57)</x:f>
        <x:v>0.027063786609967583</x:v>
      </x:c>
      <x:c r="K57" s="5" t="n">
        <x:f>IFERROR(J57/D57,"")</x:f>
        <x:v>0.1023592534416323</x:v>
      </x:c>
      <x:c r="L57" s="4" t="n">
        <x:f>IF(OR(E57="",G57=""),"",E57-G57)</x:f>
        <x:v>0.02035638193289438</x:v>
      </x:c>
      <x:c r="M57" s="5" t="n">
        <x:f>IFERROR(L57/E57,"")</x:f>
        <x:v>0.08362090757232113</x:v>
      </x:c>
      <x:c r="N57" s="4" t="n">
        <x:f>IF(OR(F57="",G57=""),"",F57-G57)</x:f>
        <x:v>0.01425608495871225</x:v>
      </x:c>
      <x:c r="O57" s="5" t="n">
        <x:f>IFERROR(N57/F57,"")</x:f>
        <x:v>0.06006704478462439</x:v>
      </x:c>
      <x:c r="P57" t="str">
        <x:v>3 seeds: 0 1 2</x:v>
      </x:c>
      <x:c r="Q57" t="str">
        <x:v>3 seeds: 0 1 2</x:v>
      </x:c>
      <x:c r="R57" t="str">
        <x:v>3 seeds: 0 1 2</x:v>
      </x:c>
      <x:c r="S57" t="str">
        <x:v>3 seeds: 0 1 2</x:v>
      </x:c>
    </x:row>
    <x:row r="58">
      <x:c r="A58" t="str">
        <x:v>DLinear</x:v>
      </x:c>
      <x:c r="B58" t="str">
        <x:v>traffic</x:v>
      </x:c>
      <x:c r="C58" t="n">
        <x:v>96</x:v>
      </x:c>
      <x:c r="D58" s="4" t="n">
        <x:v>0.6709666666666667</x:v>
      </x:c>
      <x:c r="E58" s="4" t="n">
        <x:v>0.6705994804700216</x:v>
      </x:c>
      <x:c r="F58" s="4" t="n">
        <x:v>0.6713042855262756</x:v>
      </x:c>
      <x:c r="G58" s="4" t="n">
        <x:v>0.6693957249323527</x:v>
      </x:c>
      <x:c r="H58" s="4" t="n">
        <x:f>IF(OR(D58="",E58=""),"",D58-E58)</x:f>
        <x:v>0.00036718619664510843</x:v>
      </x:c>
      <x:c r="I58" s="5" t="n">
        <x:f>IFERROR(H58/D58,"")</x:f>
        <x:v>0.0005472495354639204</x:v>
      </x:c>
      <x:c r="J58" s="4" t="n">
        <x:f>IF(OR(D58="",F58=""),"",D58-F58)</x:f>
        <x:v>-0.00033761885960892357</x:v>
      </x:c>
      <x:c r="K58" s="5" t="n">
        <x:f>IFERROR(J58/D58,"")</x:f>
        <x:v>-0.0005031827606074671</x:v>
      </x:c>
      <x:c r="L58" s="4" t="n">
        <x:f>IF(OR(E58="",G58=""),"",E58-G58)</x:f>
        <x:v>0.001203755537668938</x:v>
      </x:c>
      <x:c r="M58" s="5" t="n">
        <x:f>IFERROR(L58/E58,"")</x:f>
        <x:v>0.0017950439460901887</x:v>
      </x:c>
      <x:c r="N58" s="4" t="n">
        <x:f>IF(OR(F58="",G58=""),"",F58-G58)</x:f>
        <x:v>0.00190856059392297</x:v>
      </x:c>
      <x:c r="O58" s="5" t="n">
        <x:f>IFERROR(N58/F58,"")</x:f>
        <x:v>0.0028430633247436147</x:v>
      </x:c>
      <x:c r="P58" t="str">
        <x:v>3 seeds: 0 1 2</x:v>
      </x:c>
      <x:c r="Q58" t="str">
        <x:v>3 seeds: 0 1 2</x:v>
      </x:c>
      <x:c r="R58" t="str">
        <x:v>3 seeds: 0 1 2</x:v>
      </x:c>
      <x:c r="S58" t="str">
        <x:v>3 seeds: 0 1 2</x:v>
      </x:c>
    </x:row>
    <x:row r="59">
      <x:c r="A59" t="str">
        <x:v>DLinear</x:v>
      </x:c>
      <x:c r="B59" t="str">
        <x:v>traffic</x:v>
      </x:c>
      <x:c r="C59" t="n">
        <x:v>192</x:v>
      </x:c>
      <x:c r="D59" s="4" t="n">
        <x:v>0.6251666666666666</x:v>
      </x:c>
      <x:c r="E59" s="4" t="n">
        <x:v>0.6250709692637125</x:v>
      </x:c>
      <x:c r="F59" s="4" t="n">
        <x:v>0.6235871911048889</x:v>
      </x:c>
      <x:c r="G59" s="4" t="n">
        <x:v>0.6231372356414795</x:v>
      </x:c>
      <x:c r="H59" s="4" t="n">
        <x:f>IF(OR(D59="",E59=""),"",D59-E59)</x:f>
        <x:v>0.00009569740295412021</x:v>
      </x:c>
      <x:c r="I59" s="5" t="n">
        <x:f>IFERROR(H59/D59,"")</x:f>
        <x:v>0.00015307502472000035</x:v>
      </x:c>
      <x:c r="J59" s="4" t="n">
        <x:f>IF(OR(D59="",F59=""),"",D59-F59)</x:f>
        <x:v>0.0015794755617777323</x:v>
      </x:c>
      <x:c r="K59" s="5" t="n">
        <x:f>IFERROR(J59/D59,"")</x:f>
        <x:v>0.0025264871689326565</x:v>
      </x:c>
      <x:c r="L59" s="4" t="n">
        <x:f>IF(OR(E59="",G59=""),"",E59-G59)</x:f>
        <x:v>0.001933733622233036</x:v>
      </x:c>
      <x:c r="M59" s="5" t="n">
        <x:f>IFERROR(L59/E59,"")</x:f>
        <x:v>0.0030936225121938254</x:v>
      </x:c>
      <x:c r="N59" s="4" t="n">
        <x:f>IF(OR(F59="",G59=""),"",F59-G59)</x:f>
        <x:v>0.00044995546340942383</x:v>
      </x:c>
      <x:c r="O59" s="5" t="n">
        <x:f>IFERROR(N59/F59,"")</x:f>
        <x:v>0.0007215598232737597</x:v>
      </x:c>
      <x:c r="P59" t="str">
        <x:v>3 seeds: 0 1 2</x:v>
      </x:c>
      <x:c r="Q59" t="str">
        <x:v>3 seeds: 0 1 2</x:v>
      </x:c>
      <x:c r="R59" t="str">
        <x:v>3 seeds: 0 1 2</x:v>
      </x:c>
      <x:c r="S59" t="str">
        <x:v>3 seeds: 0 1 2</x:v>
      </x:c>
    </x:row>
    <x:row r="60">
      <x:c r="A60" t="str">
        <x:v>DLinear</x:v>
      </x:c>
      <x:c r="B60" t="str">
        <x:v>traffic</x:v>
      </x:c>
      <x:c r="C60" t="n">
        <x:v>336</x:v>
      </x:c>
      <x:c r="D60" s="4" t="n">
        <x:v>0.6328</x:v>
      </x:c>
      <x:c r="E60" s="4" t="n">
        <x:v>0.631888230641683</x:v>
      </x:c>
      <x:c r="F60" s="4" t="n">
        <x:v>0.6255009174346924</x:v>
      </x:c>
      <x:c r="G60" s="4" t="n">
        <x:v>0.6306936343510946</x:v>
      </x:c>
      <x:c r="H60" s="4" t="n">
        <x:f>IF(OR(D60="",E60=""),"",D60-E60)</x:f>
        <x:v>0.0009117693583170494</x:v>
      </x:c>
      <x:c r="I60" s="5" t="n">
        <x:f>IFERROR(H60/D60,"")</x:f>
        <x:v>0.001440849175595843</x:v>
      </x:c>
      <x:c r="J60" s="4" t="n">
        <x:f>IF(OR(D60="",F60=""),"",D60-F60)</x:f>
        <x:v>0.007299082565307646</x:v>
      </x:c>
      <x:c r="K60" s="5" t="n">
        <x:f>IFERROR(J60/D60,"")</x:f>
        <x:v>0.011534580539361008</x:v>
      </x:c>
      <x:c r="L60" s="4" t="n">
        <x:f>IF(OR(E60="",G60=""),"",E60-G60)</x:f>
        <x:v>0.001194596290588379</x:v>
      </x:c>
      <x:c r="M60" s="5" t="n">
        <x:f>IFERROR(L60/E60,"")</x:f>
        <x:v>0.0018905183427380273</x:v>
      </x:c>
      <x:c r="N60" s="4" t="n">
        <x:f>IF(OR(F60="",G60=""),"",F60-G60)</x:f>
        <x:v>-0.005192716916402218</x:v>
      </x:c>
      <x:c r="O60" s="5" t="n">
        <x:f>IFERROR(N60/F60,"")</x:f>
        <x:v>-0.008301693525404592</x:v>
      </x:c>
      <x:c r="P60" t="str">
        <x:v>3 seeds: 0 1 2</x:v>
      </x:c>
      <x:c r="Q60" t="str">
        <x:v>3 seeds: 0 1 2</x:v>
      </x:c>
      <x:c r="R60" t="str">
        <x:v>3 seeds: 0 1 2</x:v>
      </x:c>
      <x:c r="S60" t="str">
        <x:v>3 seeds: 0 1 2</x:v>
      </x:c>
    </x:row>
    <x:row r="61">
      <x:c r="A61" t="str">
        <x:v>DLinear</x:v>
      </x:c>
      <x:c r="B61" t="str">
        <x:v>traffic</x:v>
      </x:c>
      <x:c r="C61" t="n">
        <x:v>720</x:v>
      </x:c>
      <x:c r="D61" s="4" t="n">
        <x:v>0.6717</x:v>
      </x:c>
      <x:c r="E61" s="4" t="n">
        <x:v>0.6696911454200745</x:v>
      </x:c>
      <x:c r="F61" s="4" t="n">
        <x:v>0.6572381854057312</x:v>
      </x:c>
      <x:c r="G61" s="4" t="n">
        <x:v>0.6635934511820475</x:v>
      </x:c>
      <x:c r="H61" s="4" t="n">
        <x:f>IF(OR(D61="",E61=""),"",D61-E61)</x:f>
        <x:v>0.002008854579925501</x:v>
      </x:c>
      <x:c r="I61" s="5" t="n">
        <x:f>IFERROR(H61/D61,"")</x:f>
        <x:v>0.0029907020692652984</x:v>
      </x:c>
      <x:c r="J61" s="4" t="n">
        <x:f>IF(OR(D61="",F61=""),"",D61-F61)</x:f>
        <x:v>0.014461814594268763</x:v>
      </x:c>
      <x:c r="K61" s="5" t="n">
        <x:f>IFERROR(J61/D61,"")</x:f>
        <x:v>0.021530169114588004</x:v>
      </x:c>
      <x:c r="L61" s="4" t="n">
        <x:f>IF(OR(E61="",G61=""),"",E61-G61)</x:f>
        <x:v>0.006097694238026974</x:v>
      </x:c>
      <x:c r="M61" s="5" t="n">
        <x:f>IFERROR(L61/E61,"")</x:f>
        <x:v>0.00910523347923631</x:v>
      </x:c>
      <x:c r="N61" s="4" t="n">
        <x:f>IF(OR(F61="",G61=""),"",F61-G61)</x:f>
        <x:v>-0.006355265776316288</x:v>
      </x:c>
      <x:c r="O61" s="5" t="n">
        <x:f>IFERROR(N61/F61,"")</x:f>
        <x:v>-0.009669653890230081</x:v>
      </x:c>
      <x:c r="P61" t="str">
        <x:v>3 seeds: 0 1 2</x:v>
      </x:c>
      <x:c r="Q61" t="str">
        <x:v>3 seeds: 0 1 2</x:v>
      </x:c>
      <x:c r="R61" t="str">
        <x:v>3 seeds: 0 1 2</x:v>
      </x:c>
      <x:c r="S61" t="str">
        <x:v>3 seeds: 0 1 2</x:v>
      </x:c>
    </x:row>
    <x:row r="62">
      <x:c r="A62" t="str">
        <x:v>FreTS</x:v>
      </x:c>
      <x:c r="B62" t="str">
        <x:v>ETTh1</x:v>
      </x:c>
      <x:c r="C62" t="n">
        <x:v>96</x:v>
      </x:c>
      <x:c r="D62" s="4" t="n">
        <x:v>0.4346333333333333</x:v>
      </x:c>
      <x:c r="E62" s="4" t="n">
        <x:v>0.4314335435628891</x:v>
      </x:c>
      <x:c r="F62" s="4" t="n">
        <x:v>0.4383009821176529</x:v>
      </x:c>
      <x:c r="G62" s="4" t="n">
        <x:v>0.4157506823539734</x:v>
      </x:c>
      <x:c r="H62" s="4" t="n">
        <x:f>IF(OR(D62="",E62=""),"",D62-E62)</x:f>
        <x:v>0.003199789770444217</x:v>
      </x:c>
      <x:c r="I62" s="5" t="n">
        <x:f>IFERROR(H62/D62,"")</x:f>
        <x:v>0.0073620441071651594</x:v>
      </x:c>
      <x:c r="J62" s="4" t="n">
        <x:f>IF(OR(D62="",F62=""),"",D62-F62)</x:f>
        <x:v>-0.003667648784319577</x:v>
      </x:c>
      <x:c r="K62" s="5" t="n">
        <x:f>IFERROR(J62/D62,"")</x:f>
        <x:v>-0.008438489418635425</x:v>
      </x:c>
      <x:c r="L62" s="4" t="n">
        <x:f>IF(OR(E62="",G62=""),"",E62-G62)</x:f>
        <x:v>0.01568286120891571</x:v>
      </x:c>
      <x:c r="M62" s="5" t="n">
        <x:f>IFERROR(L62/E62,"")</x:f>
        <x:v>0.03635058386838124</x:v>
      </x:c>
      <x:c r="N62" s="4" t="n">
        <x:f>IF(OR(F62="",G62=""),"",F62-G62)</x:f>
        <x:v>0.022550299763679504</x:v>
      </x:c>
      <x:c r="O62" s="5" t="n">
        <x:f>IFERROR(N62/F62,"")</x:f>
        <x:v>0.051449348013613026</x:v>
      </x:c>
      <x:c r="P62" t="str">
        <x:v>3 seeds: 0 1 2</x:v>
      </x:c>
      <x:c r="Q62" t="str">
        <x:v>2 seeds: 1 2</x:v>
      </x:c>
      <x:c r="R62" t="str">
        <x:v>2 seeds: 1 2</x:v>
      </x:c>
      <x:c r="S62" t="str">
        <x:v>2 seeds: 1 2</x:v>
      </x:c>
    </x:row>
    <x:row r="63">
      <x:c r="A63" t="str">
        <x:v>FreTS</x:v>
      </x:c>
      <x:c r="B63" t="str">
        <x:v>ETTh1</x:v>
      </x:c>
      <x:c r="C63" t="n">
        <x:v>192</x:v>
      </x:c>
      <x:c r="D63" s="4" t="n">
        <x:v>0.4928</x:v>
      </x:c>
      <x:c r="E63" s="4" t="n">
        <x:v>0.4975403994321823</x:v>
      </x:c>
      <x:c r="F63" s="4" t="n">
        <x:v>0.5107154250144958</x:v>
      </x:c>
      <x:c r="G63" s="4" t="n">
        <x:v>0.4913288652896881</x:v>
      </x:c>
      <x:c r="H63" s="4" t="n">
        <x:f>IF(OR(D63="",E63=""),"",D63-E63)</x:f>
        <x:v>-0.004740399432182296</x:v>
      </x:c>
      <x:c r="I63" s="5" t="n">
        <x:f>IFERROR(H63/D63,"")</x:f>
        <x:v>-0.009619317029590698</x:v>
      </x:c>
      <x:c r="J63" s="4" t="n">
        <x:f>IF(OR(D63="",F63=""),"",D63-F63)</x:f>
        <x:v>-0.017915425014495834</x:v>
      </x:c>
      <x:c r="K63" s="5" t="n">
        <x:f>IFERROR(J63/D63,"")</x:f>
        <x:v>-0.036354352707986676</x:v>
      </x:c>
      <x:c r="L63" s="4" t="n">
        <x:f>IF(OR(E63="",G63=""),"",E63-G63)</x:f>
        <x:v>0.006211534142494202</x:v>
      </x:c>
      <x:c r="M63" s="5" t="n">
        <x:f>IFERROR(L63/E63,"")</x:f>
        <x:v>0.012484481962837815</x:v>
      </x:c>
      <x:c r="N63" s="4" t="n">
        <x:f>IF(OR(F63="",G63=""),"",F63-G63)</x:f>
        <x:v>0.01938655972480774</x:v>
      </x:c>
      <x:c r="O63" s="5" t="n">
        <x:f>IFERROR(N63/F63,"")</x:f>
        <x:v>0.0379596126830465</x:v>
      </x:c>
      <x:c r="P63" t="str">
        <x:v>3 seeds: 0 1 2</x:v>
      </x:c>
      <x:c r="Q63" t="str">
        <x:v>2 seeds: 1 2</x:v>
      </x:c>
      <x:c r="R63" t="str">
        <x:v>2 seeds: 1 2</x:v>
      </x:c>
      <x:c r="S63" t="str">
        <x:v>2 seeds: 1 2</x:v>
      </x:c>
    </x:row>
    <x:row r="64">
      <x:c r="A64" t="str">
        <x:v>FreTS</x:v>
      </x:c>
      <x:c r="B64" t="str">
        <x:v>ETTh1</x:v>
      </x:c>
      <x:c r="C64" t="n">
        <x:v>336</x:v>
      </x:c>
      <x:c r="D64" s="4" t="n">
        <x:v>0.5451</x:v>
      </x:c>
      <x:c r="E64" s="4" t="n">
        <x:v>0.5543284118175507</x:v>
      </x:c>
      <x:c r="F64" s="4" t="n">
        <x:v>0.5245907604694366</x:v>
      </x:c>
      <x:c r="G64" s="4" t="n">
        <x:v>0.5426894426345825</x:v>
      </x:c>
      <x:c r="H64" s="4" t="n">
        <x:f>IF(OR(D64="",E64=""),"",D64-E64)</x:f>
        <x:v>-0.00922841181755063</x:v>
      </x:c>
      <x:c r="I64" s="5" t="n">
        <x:f>IFERROR(H64/D64,"")</x:f>
        <x:v>-0.01692975934241539</x:v>
      </x:c>
      <x:c r="J64" s="4" t="n">
        <x:f>IF(OR(D64="",F64=""),"",D64-F64)</x:f>
        <x:v>0.020509239530563383</x:v>
      </x:c>
      <x:c r="K64" s="5" t="n">
        <x:f>IFERROR(J64/D64,"")</x:f>
        <x:v>0.0376247285462546</x:v>
      </x:c>
      <x:c r="L64" s="4" t="n">
        <x:f>IF(OR(E64="",G64=""),"",E64-G64)</x:f>
        <x:v>0.01163896918296814</x:v>
      </x:c>
      <x:c r="M64" s="5" t="n">
        <x:f>IFERROR(L64/E64,"")</x:f>
        <x:v>0.020996522882177182</x:v>
      </x:c>
      <x:c r="N64" s="4" t="n">
        <x:f>IF(OR(F64="",G64=""),"",F64-G64)</x:f>
        <x:v>-0.018098682165145874</x:v>
      </x:c>
      <x:c r="O64" s="5" t="n">
        <x:f>IFERROR(N64/F64,"")</x:f>
        <x:v>-0.03450057364515921</x:v>
      </x:c>
      <x:c r="P64" t="str">
        <x:v>3 seeds: 0 1 2</x:v>
      </x:c>
      <x:c r="Q64" t="str">
        <x:v>2 seeds: 1 2</x:v>
      </x:c>
      <x:c r="R64" t="str">
        <x:v>2 seeds: 1 2</x:v>
      </x:c>
      <x:c r="S64" t="str">
        <x:v>2 seeds: 1 2</x:v>
      </x:c>
    </x:row>
    <x:row r="65">
      <x:c r="A65" t="str">
        <x:v>FreTS</x:v>
      </x:c>
      <x:c r="B65" t="str">
        <x:v>ETTh1</x:v>
      </x:c>
      <x:c r="C65" t="n">
        <x:v>720</x:v>
      </x:c>
      <x:c r="D65" s="4" t="n">
        <x:v>0.7158666666666667</x:v>
      </x:c>
      <x:c r="E65" s="4" t="n">
        <x:v>0.6467782557010651</x:v>
      </x:c>
      <x:c r="F65" s="4" t="n">
        <x:v>0.5884842276573181</x:v>
      </x:c>
      <x:c r="G65" s="4" t="n">
        <x:v>0.588626354932785</x:v>
      </x:c>
      <x:c r="H65" s="4" t="n">
        <x:f>IF(OR(D65="",E65=""),"",D65-E65)</x:f>
        <x:v>0.06908841096560159</x:v>
      </x:c>
      <x:c r="I65" s="5" t="n">
        <x:f>IFERROR(H65/D65,"")</x:f>
        <x:v>0.09651016618402158</x:v>
      </x:c>
      <x:c r="J65" s="4" t="n">
        <x:f>IF(OR(D65="",F65=""),"",D65-F65)</x:f>
        <x:v>0.12738243900934854</x:v>
      </x:c>
      <x:c r="K65" s="5" t="n">
        <x:f>IFERROR(J65/D65,"")</x:f>
        <x:v>0.17794157060348556</x:v>
      </x:c>
      <x:c r="L65" s="4" t="n">
        <x:f>IF(OR(E65="",G65=""),"",E65-G65)</x:f>
        <x:v>0.05815190076828003</x:v>
      </x:c>
      <x:c r="M65" s="5" t="n">
        <x:f>IFERROR(L65/E65,"")</x:f>
        <x:v>0.08991010482448454</x:v>
      </x:c>
      <x:c r="N65" s="4" t="n">
        <x:f>IF(OR(F65="",G65=""),"",F65-G65)</x:f>
        <x:v>-0.00014212727546691895</x:v>
      </x:c>
      <x:c r="O65" s="5" t="n">
        <x:f>IFERROR(N65/F65,"")</x:f>
        <x:v>-0.00024151416263560674</x:v>
      </x:c>
      <x:c r="P65" t="str">
        <x:v>3 seeds: 0 1 2</x:v>
      </x:c>
      <x:c r="Q65" t="str">
        <x:v>2 seeds: 1 2</x:v>
      </x:c>
      <x:c r="R65" t="str">
        <x:v>2 seeds: 1 2</x:v>
      </x:c>
      <x:c r="S65" t="str">
        <x:v>2 seeds: 1 2</x:v>
      </x:c>
    </x:row>
    <x:row r="66">
      <x:c r="A66" t="str">
        <x:v>FreTS</x:v>
      </x:c>
      <x:c r="B66" t="str">
        <x:v>ETTh2</x:v>
      </x:c>
      <x:c r="C66" t="n">
        <x:v>96</x:v>
      </x:c>
      <x:c r="D66" s="4" t="n">
        <x:v>0.1845</x:v>
      </x:c>
      <x:c r="E66" s="4" t="n">
        <x:v>0.18600905686616898</x:v>
      </x:c>
      <x:c r="F66" s="4" t="n">
        <x:v>0.18290401995182037</x:v>
      </x:c>
      <x:c r="G66" s="4" t="n">
        <x:v>0.18530026078224182</x:v>
      </x:c>
      <x:c r="H66" s="4" t="n">
        <x:f>IF(OR(D66="",E66=""),"",D66-E66)</x:f>
        <x:v>-0.0015090568661689785</x:v>
      </x:c>
      <x:c r="I66" s="5" t="n">
        <x:f>IFERROR(H66/D66,"")</x:f>
        <x:v>-0.008179170006335926</x:v>
      </x:c>
      <x:c r="J66" s="4" t="n">
        <x:f>IF(OR(D66="",F66=""),"",D66-F66)</x:f>
        <x:v>0.0015959800481796238</x:v>
      </x:c>
      <x:c r="K66" s="5" t="n">
        <x:f>IFERROR(J66/D66,"")</x:f>
        <x:v>0.008650298364117202</x:v>
      </x:c>
      <x:c r="L66" s="4" t="n">
        <x:f>IF(OR(E66="",G66=""),"",E66-G66)</x:f>
        <x:v>0.0007087960839271545</x:v>
      </x:c>
      <x:c r="M66" s="5" t="n">
        <x:f>IFERROR(L66/E66,"")</x:f>
        <x:v>0.003810546087748425</x:v>
      </x:c>
      <x:c r="N66" s="4" t="n">
        <x:f>IF(OR(F66="",G66=""),"",F66-G66)</x:f>
        <x:v>-0.0023962408304214478</x:v>
      </x:c>
      <x:c r="O66" s="5" t="n">
        <x:f>IFERROR(N66/F66,"")</x:f>
        <x:v>-0.01310108345925176</x:v>
      </x:c>
      <x:c r="P66" t="str">
        <x:v>3 seeds: 0 1 2</x:v>
      </x:c>
      <x:c r="Q66" t="str">
        <x:v>2 seeds: 1 2</x:v>
      </x:c>
      <x:c r="R66" t="str">
        <x:v>2 seeds: 1 2</x:v>
      </x:c>
      <x:c r="S66" t="str">
        <x:v>2 seeds: 1 2</x:v>
      </x:c>
    </x:row>
    <x:row r="67">
      <x:c r="A67" t="str">
        <x:v>FreTS</x:v>
      </x:c>
      <x:c r="B67" t="str">
        <x:v>ETTh2</x:v>
      </x:c>
      <x:c r="C67" t="n">
        <x:v>192</x:v>
      </x:c>
      <x:c r="D67" s="4" t="n">
        <x:v>0.22396666666666668</x:v>
      </x:c>
      <x:c r="E67" s="4" t="n">
        <x:v>0.22896744310855865</x:v>
      </x:c>
      <x:c r="F67" s="4" t="n">
        <x:v>0.22984886169433594</x:v>
      </x:c>
      <x:c r="G67" s="4" t="n">
        <x:v>0.23325051367282867</x:v>
      </x:c>
      <x:c r="H67" s="4" t="n">
        <x:f>IF(OR(D67="",E67=""),"",D67-E67)</x:f>
        <x:v>-0.00500077644189198</x:v>
      </x:c>
      <x:c r="I67" s="5" t="n">
        <x:f>IFERROR(H67/D67,"")</x:f>
        <x:v>-0.022328217481285814</x:v>
      </x:c>
      <x:c r="J67" s="4" t="n">
        <x:f>IF(OR(D67="",F67=""),"",D67-F67)</x:f>
        <x:v>-0.0058821950276692625</x:v>
      </x:c>
      <x:c r="K67" s="5" t="n">
        <x:f>IFERROR(J67/D67,"")</x:f>
        <x:v>-0.026263707520475944</x:v>
      </x:c>
      <x:c r="L67" s="4" t="n">
        <x:f>IF(OR(E67="",G67=""),"",E67-G67)</x:f>
        <x:v>-0.0042830705642700195</x:v>
      </x:c>
      <x:c r="M67" s="5" t="n">
        <x:f>IFERROR(L67/E67,"")</x:f>
        <x:v>-0.018706024341807053</x:v>
      </x:c>
      <x:c r="N67" s="4" t="n">
        <x:f>IF(OR(F67="",G67=""),"",F67-G67)</x:f>
        <x:v>-0.003401651978492737</x:v>
      </x:c>
      <x:c r="O67" s="5" t="n">
        <x:f>IFERROR(N67/F67,"")</x:f>
        <x:v>-0.014799516314404973</x:v>
      </x:c>
      <x:c r="P67" t="str">
        <x:v>3 seeds: 0 1 2</x:v>
      </x:c>
      <x:c r="Q67" t="str">
        <x:v>2 seeds: 1 2</x:v>
      </x:c>
      <x:c r="R67" t="str">
        <x:v>2 seeds: 1 2</x:v>
      </x:c>
      <x:c r="S67" t="str">
        <x:v>2 seeds: 1 2</x:v>
      </x:c>
    </x:row>
    <x:row r="68">
      <x:c r="A68" t="str">
        <x:v>FreTS</x:v>
      </x:c>
      <x:c r="B68" t="str">
        <x:v>ETTh2</x:v>
      </x:c>
      <x:c r="C68" t="n">
        <x:v>336</x:v>
      </x:c>
      <x:c r="D68" s="4" t="n">
        <x:v>0.2554</x:v>
      </x:c>
      <x:c r="E68" s="4" t="n">
        <x:v>0.2539190649986267</x:v>
      </x:c>
      <x:c r="F68" s="4" t="n">
        <x:v>0.2581198662519455</x:v>
      </x:c>
      <x:c r="G68" s="4" t="n">
        <x:v>0.25198595225811005</x:v>
      </x:c>
      <x:c r="H68" s="4" t="n">
        <x:f>IF(OR(D68="",E68=""),"",D68-E68)</x:f>
        <x:v>0.001480935001373307</x:v>
      </x:c>
      <x:c r="I68" s="5" t="n">
        <x:f>IFERROR(H68/D68,"")</x:f>
        <x:v>0.005798492566066197</x:v>
      </x:c>
      <x:c r="J68" s="4" t="n">
        <x:f>IF(OR(D68="",F68=""),"",D68-F68)</x:f>
        <x:v>-0.0027198662519454797</x:v>
      </x:c>
      <x:c r="K68" s="5" t="n">
        <x:f>IFERROR(J68/D68,"")</x:f>
        <x:v>-0.010649437165017539</x:v>
      </x:c>
      <x:c r="L68" s="4" t="n">
        <x:f>IF(OR(E68="",G68=""),"",E68-G68)</x:f>
        <x:v>0.0019331127405166626</x:v>
      </x:c>
      <x:c r="M68" s="5" t="n">
        <x:f>IFERROR(L68/E68,"")</x:f>
        <x:v>0.007613105934078316</x:v>
      </x:c>
      <x:c r="N68" s="4" t="n">
        <x:f>IF(OR(F68="",G68=""),"",F68-G68)</x:f>
        <x:v>0.006133913993835449</x:v>
      </x:c>
      <x:c r="O68" s="5" t="n">
        <x:f>IFERROR(N68/F68,"")</x:f>
        <x:v>0.02376381982101394</x:v>
      </x:c>
      <x:c r="P68" t="str">
        <x:v>3 seeds: 0 1 2</x:v>
      </x:c>
      <x:c r="Q68" t="str">
        <x:v>2 seeds: 1 2</x:v>
      </x:c>
      <x:c r="R68" t="str">
        <x:v>2 seeds: 1 2</x:v>
      </x:c>
      <x:c r="S68" t="str">
        <x:v>2 seeds: 1 2</x:v>
      </x:c>
    </x:row>
    <x:row r="69">
      <x:c r="A69" t="str">
        <x:v>FreTS</x:v>
      </x:c>
      <x:c r="B69" t="str">
        <x:v>ETTh2</x:v>
      </x:c>
      <x:c r="C69" t="n">
        <x:v>720</x:v>
      </x:c>
      <x:c r="D69" s="4" t="n">
        <x:v>0.3243333333333333</x:v>
      </x:c>
      <x:c r="E69" s="4" t="n">
        <x:v>0.2756490558385849</x:v>
      </x:c>
      <x:c r="F69" s="4" t="n">
        <x:v>0.2757241278886795</x:v>
      </x:c>
      <x:c r="G69" s="4" t="n">
        <x:v>0.27547670900821686</x:v>
      </x:c>
      <x:c r="H69" s="4" t="n">
        <x:f>IF(OR(D69="",E69=""),"",D69-E69)</x:f>
        <x:v>0.04868427749474841</x:v>
      </x:c>
      <x:c r="I69" s="5" t="n">
        <x:f>IFERROR(H69/D69,"")</x:f>
        <x:v>0.15010568600641852</x:v>
      </x:c>
      <x:c r="J69" s="4" t="n">
        <x:f>IF(OR(D69="",F69=""),"",D69-F69)</x:f>
        <x:v>0.0486092054446538</x:v>
      </x:c>
      <x:c r="K69" s="5" t="n">
        <x:f>IFERROR(J69/D69,"")</x:f>
        <x:v>0.14987422028156364</x:v>
      </x:c>
      <x:c r="L69" s="4" t="n">
        <x:f>IF(OR(E69="",G69=""),"",E69-G69)</x:f>
        <x:v>0.000172346830368042</x:v>
      </x:c>
      <x:c r="M69" s="5" t="n">
        <x:f>IFERROR(L69/E69,"")</x:f>
        <x:v>0.0006252400533124452</x:v>
      </x:c>
      <x:c r="N69" s="4" t="n">
        <x:f>IF(OR(F69="",G69=""),"",F69-G69)</x:f>
        <x:v>0.0002474188804626465</x:v>
      </x:c>
      <x:c r="O69" s="5" t="n">
        <x:f>IFERROR(N69/F69,"")</x:f>
        <x:v>0.0008973421454162294</x:v>
      </x:c>
      <x:c r="P69" t="str">
        <x:v>3 seeds: 0 1 2</x:v>
      </x:c>
      <x:c r="Q69" t="str">
        <x:v>2 seeds: 1 2</x:v>
      </x:c>
      <x:c r="R69" t="str">
        <x:v>2 seeds: 1 2</x:v>
      </x:c>
      <x:c r="S69" t="str">
        <x:v>2 seeds: 1 2</x:v>
      </x:c>
    </x:row>
    <x:row r="70">
      <x:c r="A70" t="str">
        <x:v>FreTS</x:v>
      </x:c>
      <x:c r="B70" t="str">
        <x:v>ETTm1</x:v>
      </x:c>
      <x:c r="C70" t="n">
        <x:v>96</x:v>
      </x:c>
      <x:c r="D70" s="4" t="n">
        <x:v>0.3616</x:v>
      </x:c>
      <x:c r="E70" s="4" t="n">
        <x:v>0.3550616055727005</x:v>
      </x:c>
      <x:c r="F70" s="4" t="n">
        <x:v>0.3519553244113922</x:v>
      </x:c>
      <x:c r="G70" s="4" t="n">
        <x:v>0.3404066860675812</x:v>
      </x:c>
      <x:c r="H70" s="4" t="n">
        <x:f>IF(OR(D70="",E70=""),"",D70-E70)</x:f>
        <x:v>0.0065383944272994765</x:v>
      </x:c>
      <x:c r="I70" s="5" t="n">
        <x:f>IFERROR(H70/D70,"")</x:f>
        <x:v>0.018081842995850323</x:v>
      </x:c>
      <x:c r="J70" s="4" t="n">
        <x:f>IF(OR(D70="",F70=""),"",D70-F70)</x:f>
        <x:v>0.009644675588607765</x:v>
      </x:c>
      <x:c r="K70" s="5" t="n">
        <x:f>IFERROR(J70/D70,"")</x:f>
        <x:v>0.02667222231362767</x:v>
      </x:c>
      <x:c r="L70" s="4" t="n">
        <x:f>IF(OR(E70="",G70=""),"",E70-G70)</x:f>
        <x:v>0.014654919505119324</x:v>
      </x:c>
      <x:c r="M70" s="5" t="n">
        <x:f>IFERROR(L70/E70,"")</x:f>
        <x:v>0.041274300783610524</x:v>
      </x:c>
      <x:c r="N70" s="4" t="n">
        <x:f>IF(OR(F70="",G70=""),"",F70-G70)</x:f>
        <x:v>0.011548638343811035</x:v>
      </x:c>
      <x:c r="O70" s="5" t="n">
        <x:f>IFERROR(N70/F70,"")</x:f>
        <x:v>0.03281279623521793</x:v>
      </x:c>
      <x:c r="P70" t="str">
        <x:v>3 seeds: 0 1 2</x:v>
      </x:c>
      <x:c r="Q70" t="str">
        <x:v>2 seeds: 1 2</x:v>
      </x:c>
      <x:c r="R70" t="str">
        <x:v>2 seeds: 1 2</x:v>
      </x:c>
      <x:c r="S70" t="str">
        <x:v>2 seeds: 1 2</x:v>
      </x:c>
    </x:row>
    <x:row r="71">
      <x:c r="A71" t="str">
        <x:v>FreTS</x:v>
      </x:c>
      <x:c r="B71" t="str">
        <x:v>ETTm1</x:v>
      </x:c>
      <x:c r="C71" t="n">
        <x:v>192</x:v>
      </x:c>
      <x:c r="D71" s="4" t="n">
        <x:v>0.4218</x:v>
      </x:c>
      <x:c r="E71" s="4" t="n">
        <x:v>0.4245300143957138</x:v>
      </x:c>
      <x:c r="F71" s="4" t="n">
        <x:v>0.417897030711174</x:v>
      </x:c>
      <x:c r="G71" s="4" t="n">
        <x:v>0.4058390110731125</x:v>
      </x:c>
      <x:c r="H71" s="4" t="n">
        <x:f>IF(OR(D71="",E71=""),"",D71-E71)</x:f>
        <x:v>-0.002730014395713798</x:v>
      </x:c>
      <x:c r="I71" s="5" t="n">
        <x:f>IFERROR(H71/D71,"")</x:f>
        <x:v>-0.006472295864660497</x:v>
      </x:c>
      <x:c r="J71" s="4" t="n">
        <x:f>IF(OR(D71="",F71=""),"",D71-F71)</x:f>
        <x:v>0.003902969288825997</x:v>
      </x:c>
      <x:c r="K71" s="5" t="n">
        <x:f>IFERROR(J71/D71,"")</x:f>
        <x:v>0.009253127759189182</x:v>
      </x:c>
      <x:c r="L71" s="4" t="n">
        <x:f>IF(OR(E71="",G71=""),"",E71-G71)</x:f>
        <x:v>0.01869100332260132</x:v>
      </x:c>
      <x:c r="M71" s="5" t="n">
        <x:f>IFERROR(L71/E71,"")</x:f>
        <x:v>0.0440275191124155</x:v>
      </x:c>
      <x:c r="N71" s="4" t="n">
        <x:f>IF(OR(F71="",G71=""),"",F71-G71)</x:f>
        <x:v>0.012058019638061523</x:v>
      </x:c>
      <x:c r="O71" s="5" t="n">
        <x:f>IFERROR(N71/F71,"")</x:f>
        <x:v>0.02885404478117798</x:v>
      </x:c>
      <x:c r="P71" t="str">
        <x:v>3 seeds: 0 1 2</x:v>
      </x:c>
      <x:c r="Q71" t="str">
        <x:v>2 seeds: 1 2</x:v>
      </x:c>
      <x:c r="R71" t="str">
        <x:v>2 seeds: 1 2</x:v>
      </x:c>
      <x:c r="S71" t="str">
        <x:v>2 seeds: 1 2</x:v>
      </x:c>
    </x:row>
    <x:row r="72">
      <x:c r="A72" t="str">
        <x:v>FreTS</x:v>
      </x:c>
      <x:c r="B72" t="str">
        <x:v>ETTm1</x:v>
      </x:c>
      <x:c r="C72" t="n">
        <x:v>336</x:v>
      </x:c>
      <x:c r="D72" s="4" t="n">
        <x:v>0.4863</x:v>
      </x:c>
      <x:c r="E72" s="4" t="n">
        <x:v>0.4926287531852722</x:v>
      </x:c>
      <x:c r="F72" s="4" t="n">
        <x:v>0.49230819940567017</x:v>
      </x:c>
      <x:c r="G72" s="4" t="n">
        <x:v>0.45788806676864624</x:v>
      </x:c>
      <x:c r="H72" s="4" t="n">
        <x:f>IF(OR(D72="",E72=""),"",D72-E72)</x:f>
        <x:v>-0.006328753185272207</x:v>
      </x:c>
      <x:c r="I72" s="5" t="n">
        <x:f>IFERROR(H72/D72,"")</x:f>
        <x:v>-0.013014092505186524</x:v>
      </x:c>
      <x:c r="J72" s="4" t="n">
        <x:f>IF(OR(D72="",F72=""),"",D72-F72)</x:f>
        <x:v>-0.006008199405670156</x:v>
      </x:c>
      <x:c r="K72" s="5" t="n">
        <x:f>IFERROR(J72/D72,"")</x:f>
        <x:v>-0.012354923721304043</x:v>
      </x:c>
      <x:c r="L72" s="4" t="n">
        <x:f>IF(OR(E72="",G72=""),"",E72-G72)</x:f>
        <x:v>0.03474068641662598</x:v>
      </x:c>
      <x:c r="M72" s="5" t="n">
        <x:f>IFERROR(L72/E72,"")</x:f>
        <x:v>0.07052102864885028</x:v>
      </x:c>
      <x:c r="N72" s="4" t="n">
        <x:f>IF(OR(F72="",G72=""),"",F72-G72)</x:f>
        <x:v>0.034420132637023926</x:v>
      </x:c>
      <x:c r="O72" s="5" t="n">
        <x:f>IFERROR(N72/F72,"")</x:f>
        <x:v>0.06991582240266765</x:v>
      </x:c>
      <x:c r="P72" t="str">
        <x:v>3 seeds: 0 1 2</x:v>
      </x:c>
      <x:c r="Q72" t="str">
        <x:v>2 seeds: 1 2</x:v>
      </x:c>
      <x:c r="R72" t="str">
        <x:v>2 seeds: 1 2</x:v>
      </x:c>
      <x:c r="S72" t="str">
        <x:v>2 seeds: 1 2</x:v>
      </x:c>
    </x:row>
    <x:row r="73">
      <x:c r="A73" t="str">
        <x:v>FreTS</x:v>
      </x:c>
      <x:c r="B73" t="str">
        <x:v>ETTm1</x:v>
      </x:c>
      <x:c r="C73" t="n">
        <x:v>720</x:v>
      </x:c>
      <x:c r="D73" s="4" t="n">
        <x:v>0.5526666666666666</x:v>
      </x:c>
      <x:c r="E73" s="4" t="n">
        <x:v>0.5312340557575226</x:v>
      </x:c>
      <x:c r="F73" s="4" t="n">
        <x:v>0.5682907998561859</x:v>
      </x:c>
      <x:c r="G73" s="4" t="n">
        <x:v>0.4606608897447586</x:v>
      </x:c>
      <x:c r="H73" s="4" t="n">
        <x:f>IF(OR(D73="",E73=""),"",D73-E73)</x:f>
        <x:v>0.021432610909144056</x:v>
      </x:c>
      <x:c r="I73" s="5" t="n">
        <x:f>IFERROR(H73/D73,"")</x:f>
        <x:v>0.03878035749543557</x:v>
      </x:c>
      <x:c r="J73" s="4" t="n">
        <x:f>IF(OR(D73="",F73=""),"",D73-F73)</x:f>
        <x:v>-0.015624133189519274</x:v>
      </x:c>
      <x:c r="K73" s="5" t="n">
        <x:f>IFERROR(J73/D73,"")</x:f>
        <x:v>-0.028270446060650073</x:v>
      </x:c>
      <x:c r="L73" s="4" t="n">
        <x:f>IF(OR(E73="",G73=""),"",E73-G73)</x:f>
        <x:v>0.07057316601276398</x:v>
      </x:c>
      <x:c r="M73" s="5" t="n">
        <x:f>IFERROR(L73/E73,"")</x:f>
        <x:v>0.13284759372613814</x:v>
      </x:c>
      <x:c r="N73" s="4" t="n">
        <x:f>IF(OR(F73="",G73=""),"",F73-G73)</x:f>
        <x:v>0.10762991011142731</x:v>
      </x:c>
      <x:c r="O73" s="5" t="n">
        <x:f>IFERROR(N73/F73,"")</x:f>
        <x:v>0.1893923148829166</x:v>
      </x:c>
      <x:c r="P73" t="str">
        <x:v>3 seeds: 0 1 2</x:v>
      </x:c>
      <x:c r="Q73" t="str">
        <x:v>2 seeds: 1 2</x:v>
      </x:c>
      <x:c r="R73" t="str">
        <x:v>2 seeds: 1 2</x:v>
      </x:c>
      <x:c r="S73" t="str">
        <x:v>2 seeds: 1 2</x:v>
      </x:c>
    </x:row>
    <x:row r="74">
      <x:c r="A74" t="str">
        <x:v>FreTS</x:v>
      </x:c>
      <x:c r="B74" t="str">
        <x:v>ETTm2</x:v>
      </x:c>
      <x:c r="C74" t="n">
        <x:v>96</x:v>
      </x:c>
      <x:c r="D74" s="4" t="n">
        <x:v>0.11866666666666667</x:v>
      </x:c>
      <x:c r="E74" s="4" t="n">
        <x:v>0.1201893575489521</x:v>
      </x:c>
      <x:c r="F74" s="4" t="n">
        <x:v>0.11903567239642143</x:v>
      </x:c>
      <x:c r="G74" s="4" t="n">
        <x:v>0.11847829446196556</x:v>
      </x:c>
      <x:c r="H74" s="4" t="n">
        <x:f>IF(OR(D74="",E74=""),"",D74-E74)</x:f>
        <x:v>-0.0015226908822854324</x:v>
      </x:c>
      <x:c r="I74" s="5" t="n">
        <x:f>IFERROR(H74/D74,"")</x:f>
        <x:v>-0.012831664738360385</x:v>
      </x:c>
      <x:c r="J74" s="4" t="n">
        <x:f>IF(OR(D74="",F74=""),"",D74-F74)</x:f>
        <x:v>-0.0003690057297547622</x:v>
      </x:c>
      <x:c r="K74" s="5" t="n">
        <x:f>IFERROR(J74/D74,"")</x:f>
        <x:v>-0.003109598846247996</x:v>
      </x:c>
      <x:c r="L74" s="4" t="n">
        <x:f>IF(OR(E74="",G74=""),"",E74-G74)</x:f>
        <x:v>0.0017110630869865417</x:v>
      </x:c>
      <x:c r="M74" s="5" t="n">
        <x:f>IFERROR(L74/E74,"")</x:f>
        <x:v>0.014236394318770199</x:v>
      </x:c>
      <x:c r="N74" s="4" t="n">
        <x:f>IF(OR(F74="",G74=""),"",F74-G74)</x:f>
        <x:v>0.0005573779344558716</x:v>
      </x:c>
      <x:c r="O74" s="5" t="n">
        <x:f>IFERROR(N74/F74,"")</x:f>
        <x:v>0.0046824445414955125</x:v>
      </x:c>
      <x:c r="P74" t="str">
        <x:v>3 seeds: 0 1 2</x:v>
      </x:c>
      <x:c r="Q74" t="str">
        <x:v>2 seeds: 1 2</x:v>
      </x:c>
      <x:c r="R74" t="str">
        <x:v>2 seeds: 1 2</x:v>
      </x:c>
      <x:c r="S74" t="str">
        <x:v>2 seeds: 1 2</x:v>
      </x:c>
    </x:row>
    <x:row r="75">
      <x:c r="A75" t="str">
        <x:v>FreTS</x:v>
      </x:c>
      <x:c r="B75" t="str">
        <x:v>ETTm2</x:v>
      </x:c>
      <x:c r="C75" t="n">
        <x:v>192</x:v>
      </x:c>
      <x:c r="D75" s="4" t="n">
        <x:v>0.14826666666666666</x:v>
      </x:c>
      <x:c r="E75" s="4" t="n">
        <x:v>0.1599169671535492</x:v>
      </x:c>
      <x:c r="F75" s="4" t="n">
        <x:v>0.1530347317457199</x:v>
      </x:c>
      <x:c r="G75" s="4" t="n">
        <x:v>0.15368111431598663</x:v>
      </x:c>
      <x:c r="H75" s="4" t="n">
        <x:f>IF(OR(D75="",E75=""),"",D75-E75)</x:f>
        <x:v>-0.011650300486882537</x:v>
      </x:c>
      <x:c r="I75" s="5" t="n">
        <x:f>IFERROR(H75/D75,"")</x:f>
        <x:v>-0.07857666695289481</x:v>
      </x:c>
      <x:c r="J75" s="4" t="n">
        <x:f>IF(OR(D75="",F75=""),"",D75-F75)</x:f>
        <x:v>-0.004768065079053252</x:v>
      </x:c>
      <x:c r="K75" s="5" t="n">
        <x:f>IFERROR(J75/D75,"")</x:f>
        <x:v>-0.03215871231375845</x:v>
      </x:c>
      <x:c r="L75" s="4" t="n">
        <x:f>IF(OR(E75="",G75=""),"",E75-G75)</x:f>
        <x:v>0.006235852837562561</x:v>
      </x:c>
      <x:c r="M75" s="5" t="n">
        <x:f>IFERROR(L75/E75,"")</x:f>
        <x:v>0.0389943165416276</x:v>
      </x:c>
      <x:c r="N75" s="4" t="n">
        <x:f>IF(OR(F75="",G75=""),"",F75-G75)</x:f>
        <x:v>-0.0006463825702667236</x:v>
      </x:c>
      <x:c r="O75" s="5" t="n">
        <x:f>IFERROR(N75/F75,"")</x:f>
        <x:v>-0.004223763866497592</x:v>
      </x:c>
      <x:c r="P75" t="str">
        <x:v>3 seeds: 0 1 2</x:v>
      </x:c>
      <x:c r="Q75" t="str">
        <x:v>2 seeds: 1 2</x:v>
      </x:c>
      <x:c r="R75" t="str">
        <x:v>2 seeds: 1 2</x:v>
      </x:c>
      <x:c r="S75" t="str">
        <x:v>2 seeds: 1 2</x:v>
      </x:c>
    </x:row>
    <x:row r="76">
      <x:c r="A76" t="str">
        <x:v>FreTS</x:v>
      </x:c>
      <x:c r="B76" t="str">
        <x:v>ETTm2</x:v>
      </x:c>
      <x:c r="C76" t="n">
        <x:v>336</x:v>
      </x:c>
      <x:c r="D76" s="4" t="n">
        <x:v>0.18183333333333332</x:v>
      </x:c>
      <x:c r="E76" s="4" t="n">
        <x:v>0.1917339488863945</x:v>
      </x:c>
      <x:c r="F76" s="4" t="n">
        <x:v>0.19166923314332962</x:v>
      </x:c>
      <x:c r="G76" s="4" t="n">
        <x:v>0.16560900211334229</x:v>
      </x:c>
      <x:c r="H76" s="4" t="n">
        <x:f>IF(OR(D76="",E76=""),"",D76-E76)</x:f>
        <x:v>-0.009900615553061182</x:v>
      </x:c>
      <x:c r="I76" s="5" t="n">
        <x:f>IFERROR(H76/D76,"")</x:f>
        <x:v>-0.054448848137825016</x:v>
      </x:c>
      <x:c r="J76" s="4" t="n">
        <x:f>IF(OR(D76="",F76=""),"",D76-F76)</x:f>
        <x:v>-0.009835899809996301</x:v>
      </x:c>
      <x:c r="K76" s="5" t="n">
        <x:f>IFERROR(J76/D76,"")</x:f>
        <x:v>-0.054092941209878835</x:v>
      </x:c>
      <x:c r="L76" s="4" t="n">
        <x:f>IF(OR(E76="",G76=""),"",E76-G76)</x:f>
        <x:v>0.026124946773052216</x:v>
      </x:c>
      <x:c r="M76" s="5" t="n">
        <x:f>IFERROR(L76/E76,"")</x:f>
        <x:v>0.13625623904784684</x:v>
      </x:c>
      <x:c r="N76" s="4" t="n">
        <x:f>IF(OR(F76="",G76=""),"",F76-G76)</x:f>
        <x:v>0.026060231029987335</x:v>
      </x:c>
      <x:c r="O76" s="5" t="n">
        <x:f>IFERROR(N76/F76,"")</x:f>
        <x:v>0.13596460215656825</x:v>
      </x:c>
      <x:c r="P76" t="str">
        <x:v>3 seeds: 0 1 2</x:v>
      </x:c>
      <x:c r="Q76" t="str">
        <x:v>2 seeds: 1 2</x:v>
      </x:c>
      <x:c r="R76" t="str">
        <x:v>2 seeds: 1 2</x:v>
      </x:c>
      <x:c r="S76" t="str">
        <x:v>2 seeds: 1 2</x:v>
      </x:c>
    </x:row>
    <x:row r="77">
      <x:c r="A77" t="str">
        <x:v>FreTS</x:v>
      </x:c>
      <x:c r="B77" t="str">
        <x:v>ETTm2</x:v>
      </x:c>
      <x:c r="C77" t="n">
        <x:v>720</x:v>
      </x:c>
      <x:c r="D77" s="4" t="n">
        <x:v>0.23776666666666665</x:v>
      </x:c>
      <x:c r="E77" s="4" t="n">
        <x:v>0.21432758122682571</x:v>
      </x:c>
      <x:c r="F77" s="4" t="n">
        <x:v>0.24894782155752182</x:v>
      </x:c>
      <x:c r="G77" s="4" t="n">
        <x:v>0.18142680823802948</x:v>
      </x:c>
      <x:c r="H77" s="4" t="n">
        <x:f>IF(OR(D77="",E77=""),"",D77-E77)</x:f>
        <x:v>0.02343908543984094</x:v>
      </x:c>
      <x:c r="I77" s="5" t="n">
        <x:f>IFERROR(H77/D77,"")</x:f>
        <x:v>0.09858019952267325</x:v>
      </x:c>
      <x:c r="J77" s="4" t="n">
        <x:f>IF(OR(D77="",F77=""),"",D77-F77)</x:f>
        <x:v>-0.011181154890855166</x:v>
      </x:c>
      <x:c r="K77" s="5" t="n">
        <x:f>IFERROR(J77/D77,"")</x:f>
        <x:v>-0.04702574607116992</x:v>
      </x:c>
      <x:c r="L77" s="4" t="n">
        <x:f>IF(OR(E77="",G77=""),"",E77-G77)</x:f>
        <x:v>0.032900772988796234</x:v>
      </x:c>
      <x:c r="M77" s="5" t="n">
        <x:f>IFERROR(L77/E77,"")</x:f>
        <x:v>0.1535069485712943</x:v>
      </x:c>
      <x:c r="N77" s="4" t="n">
        <x:f>IF(OR(F77="",G77=""),"",F77-G77)</x:f>
        <x:v>0.06752101331949234</x:v>
      </x:c>
      <x:c r="O77" s="5" t="n">
        <x:f>IFERROR(N77/F77,"")</x:f>
        <x:v>0.2712255640441142</x:v>
      </x:c>
      <x:c r="P77" t="str">
        <x:v>3 seeds: 0 1 2</x:v>
      </x:c>
      <x:c r="Q77" t="str">
        <x:v>2 seeds: 1 2</x:v>
      </x:c>
      <x:c r="R77" t="str">
        <x:v>2 seeds: 1 2</x:v>
      </x:c>
      <x:c r="S77" t="str">
        <x:v>2 seeds: 1 2</x:v>
      </x:c>
    </x:row>
    <x:row r="78">
      <x:c r="A78" t="str">
        <x:v>FreTS</x:v>
      </x:c>
      <x:c r="B78" t="str">
        <x:v>Exchange Rate</x:v>
      </x:c>
      <x:c r="C78" t="n">
        <x:v>96</x:v>
      </x:c>
      <x:c r="D78" s="4" t="n">
        <x:v>0.08346666666666666</x:v>
      </x:c>
      <x:c r="E78" s="4" t="n">
        <x:v>0.07924611121416092</x:v>
      </x:c>
      <x:c r="F78" s="4" t="n">
        <x:v>0.0793573260307312</x:v>
      </x:c>
      <x:c r="G78" s="4" t="n">
        <x:v>0.08038845658302307</x:v>
      </x:c>
      <x:c r="H78" s="4" t="n">
        <x:f>IF(OR(D78="",E78=""),"",D78-E78)</x:f>
        <x:v>0.004220555452505742</x:v>
      </x:c>
      <x:c r="I78" s="5" t="n">
        <x:f>IFERROR(H78/D78,"")</x:f>
        <x:v>0.05056576021372695</x:v>
      </x:c>
      <x:c r="J78" s="4" t="n">
        <x:f>IF(OR(D78="",F78=""),"",D78-F78)</x:f>
        <x:v>0.00410934063593546</x:v>
      </x:c>
      <x:c r="K78" s="5" t="n">
        <x:f>IFERROR(J78/D78,"")</x:f>
        <x:v>0.04923331432830024</x:v>
      </x:c>
      <x:c r="L78" s="4" t="n">
        <x:f>IF(OR(E78="",G78=""),"",E78-G78)</x:f>
        <x:v>-0.001142345368862152</x:v>
      </x:c>
      <x:c r="M78" s="5" t="n">
        <x:f>IFERROR(L78/E78,"")</x:f>
        <x:v>-0.014415159953716696</x:v>
      </x:c>
      <x:c r="N78" s="4" t="n">
        <x:f>IF(OR(F78="",G78=""),"",F78-G78)</x:f>
        <x:v>-0.0010311305522918701</x:v>
      </x:c>
      <x:c r="O78" s="5" t="n">
        <x:f>IFERROR(N78/F78,"")</x:f>
        <x:v>-0.0129935143214448</x:v>
      </x:c>
      <x:c r="P78" t="str">
        <x:v>3 seeds: 0 1 2</x:v>
      </x:c>
      <x:c r="Q78" t="str">
        <x:v>2 seeds: 1 2</x:v>
      </x:c>
      <x:c r="R78" t="str">
        <x:v>2 seeds: 1 2</x:v>
      </x:c>
      <x:c r="S78" t="str">
        <x:v>2 seeds: 1 2</x:v>
      </x:c>
    </x:row>
    <x:row r="79">
      <x:c r="A79" t="str">
        <x:v>FreTS</x:v>
      </x:c>
      <x:c r="B79" t="str">
        <x:v>Exchange Rate</x:v>
      </x:c>
      <x:c r="C79" t="n">
        <x:v>192</x:v>
      </x:c>
      <x:c r="D79" s="4" t="n">
        <x:v>0.1753</x:v>
      </x:c>
      <x:c r="E79" s="4" t="n">
        <x:v>0.1532968282699585</x:v>
      </x:c>
      <x:c r="F79" s="4" t="n">
        <x:v>0.15873949229717255</x:v>
      </x:c>
      <x:c r="G79" s="4" t="n">
        <x:v>0.14946843683719635</x:v>
      </x:c>
      <x:c r="H79" s="4" t="n">
        <x:f>IF(OR(D79="",E79=""),"",D79-E79)</x:f>
        <x:v>0.022003171730041515</x:v>
      </x:c>
      <x:c r="I79" s="5" t="n">
        <x:f>IFERROR(H79/D79,"")</x:f>
        <x:v>0.1255172374788449</x:v>
      </x:c>
      <x:c r="J79" s="4" t="n">
        <x:f>IF(OR(D79="",F79=""),"",D79-F79)</x:f>
        <x:v>0.016560507702827465</x:v>
      </x:c>
      <x:c r="K79" s="5" t="n">
        <x:f>IFERROR(J79/D79,"")</x:f>
        <x:v>0.09446952483073283</x:v>
      </x:c>
      <x:c r="L79" s="4" t="n">
        <x:f>IF(OR(E79="",G79=""),"",E79-G79)</x:f>
        <x:v>0.003828391432762146</x:v>
      </x:c>
      <x:c r="M79" s="5" t="n">
        <x:f>IFERROR(L79/E79,"")</x:f>
        <x:v>0.024973715868538904</x:v>
      </x:c>
      <x:c r="N79" s="4" t="n">
        <x:f>IF(OR(F79="",G79=""),"",F79-G79)</x:f>
        <x:v>0.009271055459976196</x:v>
      </x:c>
      <x:c r="O79" s="5" t="n">
        <x:f>IFERROR(N79/F79,"")</x:f>
        <x:v>0.05840421514401764</x:v>
      </x:c>
      <x:c r="P79" t="str">
        <x:v>3 seeds: 0 1 2</x:v>
      </x:c>
      <x:c r="Q79" t="str">
        <x:v>2 seeds: 1 2</x:v>
      </x:c>
      <x:c r="R79" t="str">
        <x:v>2 seeds: 1 2</x:v>
      </x:c>
      <x:c r="S79" t="str">
        <x:v>2 seeds: 1 2</x:v>
      </x:c>
    </x:row>
    <x:row r="80">
      <x:c r="A80" t="str">
        <x:v>FreTS</x:v>
      </x:c>
      <x:c r="B80" t="str">
        <x:v>Exchange Rate</x:v>
      </x:c>
      <x:c r="C80" t="n">
        <x:v>336</x:v>
      </x:c>
      <x:c r="D80" s="4" t="n">
        <x:v>0.3244666666666666</x:v>
      </x:c>
      <x:c r="E80" s="4" t="n">
        <x:v>0.22275415807962418</x:v>
      </x:c>
      <x:c r="F80" s="4" t="n">
        <x:v>0.2735913544893265</x:v>
      </x:c>
      <x:c r="G80" s="4" t="n">
        <x:v>0.21382950246334076</x:v>
      </x:c>
      <x:c r="H80" s="4" t="n">
        <x:f>IF(OR(D80="",E80=""),"",D80-E80)</x:f>
        <x:v>0.10171250858704245</x:v>
      </x:c>
      <x:c r="I80" s="5" t="n">
        <x:f>IFERROR(H80/D80,"")</x:f>
        <x:v>0.31347598701574625</x:v>
      </x:c>
      <x:c r="J80" s="4" t="n">
        <x:f>IF(OR(D80="",F80=""),"",D80-F80)</x:f>
        <x:v>0.05087531217734015</x:v>
      </x:c>
      <x:c r="K80" s="5" t="n">
        <x:f>IFERROR(J80/D80,"")</x:f>
        <x:v>0.15679672953772392</x:v>
      </x:c>
      <x:c r="L80" s="4" t="n">
        <x:f>IF(OR(E80="",G80=""),"",E80-G80)</x:f>
        <x:v>0.008924655616283417</x:v>
      </x:c>
      <x:c r="M80" s="5" t="n">
        <x:f>IFERROR(L80/E80,"")</x:f>
        <x:v>0.040065046117313194</x:v>
      </x:c>
      <x:c r="N80" s="4" t="n">
        <x:f>IF(OR(F80="",G80=""),"",F80-G80)</x:f>
        <x:v>0.05976185202598572</x:v>
      </x:c>
      <x:c r="O80" s="5" t="n">
        <x:f>IFERROR(N80/F80,"")</x:f>
        <x:v>0.21843472407062917</x:v>
      </x:c>
      <x:c r="P80" t="str">
        <x:v>3 seeds: 0 1 2</x:v>
      </x:c>
      <x:c r="Q80" t="str">
        <x:v>2 seeds: 1 2</x:v>
      </x:c>
      <x:c r="R80" t="str">
        <x:v>2 seeds: 1 2</x:v>
      </x:c>
      <x:c r="S80" t="str">
        <x:v>2 seeds: 1 2</x:v>
      </x:c>
    </x:row>
    <x:row r="81">
      <x:c r="A81" t="str">
        <x:v>FreTS</x:v>
      </x:c>
      <x:c r="B81" t="str">
        <x:v>Exchange Rate</x:v>
      </x:c>
      <x:c r="C81" t="n">
        <x:v>720</x:v>
      </x:c>
      <x:c r="D81" s="4" t="n">
        <x:v>0.8421</x:v>
      </x:c>
      <x:c r="E81" s="4" t="n">
        <x:v>0.3209460973739624</x:v>
      </x:c>
      <x:c r="F81" s="4" t="n">
        <x:v>0.4896686226129532</x:v>
      </x:c>
      <x:c r="G81" s="4" t="n">
        <x:v>0.32528071105480194</x:v>
      </x:c>
      <x:c r="H81" s="4" t="n">
        <x:f>IF(OR(D81="",E81=""),"",D81-E81)</x:f>
        <x:v>0.5211539026260376</x:v>
      </x:c>
      <x:c r="I81" s="5" t="n">
        <x:f>IFERROR(H81/D81,"")</x:f>
        <x:v>0.6188741273317154</x:v>
      </x:c>
      <x:c r="J81" s="4" t="n">
        <x:f>IF(OR(D81="",F81=""),"",D81-F81)</x:f>
        <x:v>0.3524313773870468</x:v>
      </x:c>
      <x:c r="K81" s="5" t="n">
        <x:f>IFERROR(J81/D81,"")</x:f>
        <x:v>0.4185148763650953</x:v>
      </x:c>
      <x:c r="L81" s="4" t="n">
        <x:f>IF(OR(E81="",G81=""),"",E81-G81)</x:f>
        <x:v>-0.004334613680839539</x:v>
      </x:c>
      <x:c r="M81" s="5" t="n">
        <x:f>IFERROR(L81/E81,"")</x:f>
        <x:v>-0.013505737306999875</x:v>
      </x:c>
      <x:c r="N81" s="4" t="n">
        <x:f>IF(OR(F81="",G81=""),"",F81-G81)</x:f>
        <x:v>0.16438791155815125</x:v>
      </x:c>
      <x:c r="O81" s="5" t="n">
        <x:f>IFERROR(N81/F81,"")</x:f>
        <x:v>0.33571256961687684</x:v>
      </x:c>
      <x:c r="P81" t="str">
        <x:v>3 seeds: 0 1 2</x:v>
      </x:c>
      <x:c r="Q81" t="str">
        <x:v>2 seeds: 1 2</x:v>
      </x:c>
      <x:c r="R81" t="str">
        <x:v>2 seeds: 1 2</x:v>
      </x:c>
      <x:c r="S81" t="str">
        <x:v>2 seeds: 1 2</x:v>
      </x:c>
    </x:row>
    <x:row r="82">
      <x:c r="A82" t="str">
        <x:v>FreTS</x:v>
      </x:c>
      <x:c r="B82" t="str">
        <x:v>weather</x:v>
      </x:c>
      <x:c r="C82" t="n">
        <x:v>96</x:v>
      </x:c>
      <x:c r="D82" s="4" t="n">
        <x:v>0.18303333333333333</x:v>
      </x:c>
      <x:c r="E82" s="4" t="n">
        <x:v>0.17968664318323135</x:v>
      </x:c>
      <x:c r="F82" s="4" t="n">
        <x:v>0.17938250303268433</x:v>
      </x:c>
      <x:c r="G82" s="4" t="n">
        <x:v>0.1766328364610672</x:v>
      </x:c>
      <x:c r="H82" s="4" t="n">
        <x:f>IF(OR(D82="",E82=""),"",D82-E82)</x:f>
        <x:v>0.003346690150101972</x:v>
      </x:c>
      <x:c r="I82" s="5" t="n">
        <x:f>IFERROR(H82/D82,"")</x:f>
        <x:v>0.01828459379039504</x:v>
      </x:c>
      <x:c r="J82" s="4" t="n">
        <x:f>IF(OR(D82="",F82=""),"",D82-F82)</x:f>
        <x:v>0.0036508303006489995</x:v>
      </x:c>
      <x:c r="K82" s="5" t="n">
        <x:f>IFERROR(J82/D82,"")</x:f>
        <x:v>0.019946259154884353</x:v>
      </x:c>
      <x:c r="L82" s="4" t="n">
        <x:f>IF(OR(E82="",G82=""),"",E82-G82)</x:f>
        <x:v>0.003053806722164154</x:v>
      </x:c>
      <x:c r="M82" s="5" t="n">
        <x:f>IFERROR(L82/E82,"")</x:f>
        <x:v>0.016995179319200172</x:v>
      </x:c>
      <x:c r="N82" s="4" t="n">
        <x:f>IF(OR(F82="",G82=""),"",F82-G82)</x:f>
        <x:v>0.0027496665716171265</x:v>
      </x:c>
      <x:c r="O82" s="5" t="n">
        <x:f>IFERROR(N82/F82,"")</x:f>
        <x:v>0.015328510446284298</x:v>
      </x:c>
      <x:c r="P82" t="str">
        <x:v>3 seeds: 0 1 2</x:v>
      </x:c>
      <x:c r="Q82" t="str">
        <x:v>2 seeds: 1 2</x:v>
      </x:c>
      <x:c r="R82" t="str">
        <x:v>2 seeds: 1 2</x:v>
      </x:c>
      <x:c r="S82" t="str">
        <x:v>2 seeds: 1 2</x:v>
      </x:c>
    </x:row>
    <x:row r="83">
      <x:c r="A83" t="str">
        <x:v>FreTS</x:v>
      </x:c>
      <x:c r="B83" t="str">
        <x:v>weather</x:v>
      </x:c>
      <x:c r="C83" t="n">
        <x:v>192</x:v>
      </x:c>
      <x:c r="D83" s="4" t="n">
        <x:v>0.22936666666666666</x:v>
      </x:c>
      <x:c r="E83" s="4" t="n">
        <x:v>0.23667710274457932</x:v>
      </x:c>
      <x:c r="F83" s="4" t="n">
        <x:v>0.234613336622715</x:v>
      </x:c>
      <x:c r="G83" s="4" t="n">
        <x:v>0.21836638450622559</x:v>
      </x:c>
      <x:c r="H83" s="4" t="n">
        <x:f>IF(OR(D83="",E83=""),"",D83-E83)</x:f>
        <x:v>-0.007310436077912652</x:v>
      </x:c>
      <x:c r="I83" s="5" t="n">
        <x:f>IFERROR(H83/D83,"")</x:f>
        <x:v>-0.03187226890530149</x:v>
      </x:c>
      <x:c r="J83" s="4" t="n">
        <x:f>IF(OR(D83="",F83=""),"",D83-F83)</x:f>
        <x:v>-0.005246669956048333</x:v>
      </x:c>
      <x:c r="K83" s="5" t="n">
        <x:f>IFERROR(J83/D83,"")</x:f>
        <x:v>-0.022874596523971807</x:v>
      </x:c>
      <x:c r="L83" s="4" t="n">
        <x:f>IF(OR(E83="",G83=""),"",E83-G83)</x:f>
        <x:v>0.01831071823835373</x:v>
      </x:c>
      <x:c r="M83" s="5" t="n">
        <x:f>IFERROR(L83/E83,"")</x:f>
        <x:v>0.07736582046178991</x:v>
      </x:c>
      <x:c r="N83" s="4" t="n">
        <x:f>IF(OR(F83="",G83=""),"",F83-G83)</x:f>
        <x:v>0.01624695211648941</x:v>
      </x:c>
      <x:c r="O83" s="5" t="n">
        <x:f>IFERROR(N83/F83,"")</x:f>
        <x:v>0.06924990859584577</x:v>
      </x:c>
      <x:c r="P83" t="str">
        <x:v>3 seeds: 0 1 2</x:v>
      </x:c>
      <x:c r="Q83" t="str">
        <x:v>2 seeds: 1 2</x:v>
      </x:c>
      <x:c r="R83" t="str">
        <x:v>2 seeds: 1 2</x:v>
      </x:c>
      <x:c r="S83" t="str">
        <x:v>2 seeds: 1 2</x:v>
      </x:c>
    </x:row>
    <x:row r="84">
      <x:c r="A84" t="str">
        <x:v>FreTS</x:v>
      </x:c>
      <x:c r="B84" t="str">
        <x:v>weather</x:v>
      </x:c>
      <x:c r="C84" t="n">
        <x:v>336</x:v>
      </x:c>
      <x:c r="D84" s="4" t="n">
        <x:v>0.28303333333333336</x:v>
      </x:c>
      <x:c r="E84" s="4" t="n">
        <x:v>0.3008144646883011</x:v>
      </x:c>
      <x:c r="F84" s="4" t="n">
        <x:v>0.3340434283018112</x:v>
      </x:c>
      <x:c r="G84" s="4" t="n">
        <x:v>0.2382035031914711</x:v>
      </x:c>
      <x:c r="H84" s="4" t="n">
        <x:f>IF(OR(D84="",E84=""),"",D84-E84)</x:f>
        <x:v>-0.017781131354967727</x:v>
      </x:c>
      <x:c r="I84" s="5" t="n">
        <x:f>IFERROR(H84/D84,"")</x:f>
        <x:v>-0.06282345314439192</x:v>
      </x:c>
      <x:c r="J84" s="4" t="n">
        <x:f>IF(OR(D84="",F84=""),"",D84-F84)</x:f>
        <x:v>-0.05101009496847786</x:v>
      </x:c>
      <x:c r="K84" s="5" t="n">
        <x:f>IFERROR(J84/D84,"")</x:f>
        <x:v>-0.1802264573141368</x:v>
      </x:c>
      <x:c r="L84" s="4" t="n">
        <x:f>IF(OR(E84="",G84=""),"",E84-G84)</x:f>
        <x:v>0.06261096149682999</x:v>
      </x:c>
      <x:c r="M84" s="5" t="n">
        <x:f>IFERROR(L84/E84,"")</x:f>
        <x:v>0.20813813445342935</x:v>
      </x:c>
      <x:c r="N84" s="4" t="n">
        <x:f>IF(OR(F84="",G84=""),"",F84-G84)</x:f>
        <x:v>0.09583992511034012</x:v>
      </x:c>
      <x:c r="O84" s="5" t="n">
        <x:f>IFERROR(N84/F84,"")</x:f>
        <x:v>0.28690857831739136</x:v>
      </x:c>
      <x:c r="P84" t="str">
        <x:v>3 seeds: 0 1 2</x:v>
      </x:c>
      <x:c r="Q84" t="str">
        <x:v>2 seeds: 1 2</x:v>
      </x:c>
      <x:c r="R84" t="str">
        <x:v>2 seeds: 1 2</x:v>
      </x:c>
      <x:c r="S84" t="str">
        <x:v>2 seeds: 1 2</x:v>
      </x:c>
    </x:row>
    <x:row r="85">
      <x:c r="A85" t="str">
        <x:v>FreTS</x:v>
      </x:c>
      <x:c r="B85" t="str">
        <x:v>weather</x:v>
      </x:c>
      <x:c r="C85" t="n">
        <x:v>720</x:v>
      </x:c>
      <x:c r="D85" s="4" t="n">
        <x:v>0.35883333333333334</x:v>
      </x:c>
      <x:c r="E85" s="4" t="n">
        <x:v>0.3307296931743622</x:v>
      </x:c>
      <x:c r="F85" s="4" t="n">
        <x:v>0.3678760379552841</x:v>
      </x:c>
      <x:c r="G85" s="4" t="n">
        <x:v>0.22467390447854996</x:v>
      </x:c>
      <x:c r="H85" s="4" t="n">
        <x:f>IF(OR(D85="",E85=""),"",D85-E85)</x:f>
        <x:v>0.028103640158971155</x:v>
      </x:c>
      <x:c r="I85" s="5" t="n">
        <x:f>IFERROR(H85/D85,"")</x:f>
        <x:v>0.07831948023865626</x:v>
      </x:c>
      <x:c r="J85" s="4" t="n">
        <x:f>IF(OR(D85="",F85=""),"",D85-F85)</x:f>
        <x:v>-0.009042704621950781</x:v>
      </x:c>
      <x:c r="K85" s="5" t="n">
        <x:f>IFERROR(J85/D85,"")</x:f>
        <x:v>-0.02520029156140487</x:v>
      </x:c>
      <x:c r="L85" s="4" t="n">
        <x:f>IF(OR(E85="",G85=""),"",E85-G85)</x:f>
        <x:v>0.10605578869581223</x:v>
      </x:c>
      <x:c r="M85" s="5" t="n">
        <x:f>IFERROR(L85/E85,"")</x:f>
        <x:v>0.3206721104412573</x:v>
      </x:c>
      <x:c r="N85" s="4" t="n">
        <x:f>IF(OR(F85="",G85=""),"",F85-G85)</x:f>
        <x:v>0.14320213347673416</x:v>
      </x:c>
      <x:c r="O85" s="5" t="n">
        <x:f>IFERROR(N85/F85,"")</x:f>
        <x:v>0.3892673583000277</x:v>
      </x:c>
      <x:c r="P85" t="str">
        <x:v>3 seeds: 0 1 2</x:v>
      </x:c>
      <x:c r="Q85" t="str">
        <x:v>2 seeds: 1 2</x:v>
      </x:c>
      <x:c r="R85" t="str">
        <x:v>2 seeds: 1 2</x:v>
      </x:c>
      <x:c r="S85" t="str">
        <x:v>2 seeds: 1 2</x:v>
      </x:c>
    </x:row>
    <x:row r="86">
      <x:c r="A86" t="str">
        <x:v>FreTS</x:v>
      </x:c>
      <x:c r="B86" t="str">
        <x:v>electricity</x:v>
      </x:c>
      <x:c r="C86" t="n">
        <x:v>96</x:v>
      </x:c>
      <x:c r="D86" s="4" t="n">
        <x:v>0.18833333333333332</x:v>
      </x:c>
      <x:c r="E86" s="4" t="n">
        <x:v>0.18776048719882965</x:v>
      </x:c>
      <x:c r="F86" s="4" t="n">
        <x:v>0.18812623620033264</x:v>
      </x:c>
      <x:c r="G86" s="4" t="n">
        <x:v>0.18788261711597443</x:v>
      </x:c>
      <x:c r="H86" s="4" t="n">
        <x:f>IF(OR(D86="",E86=""),"",D86-E86)</x:f>
        <x:v>0.0005728461345036739</x:v>
      </x:c>
      <x:c r="I86" s="5" t="n">
        <x:f>IFERROR(H86/D86,"")</x:f>
        <x:v>0.00304166089116995</x:v>
      </x:c>
      <x:c r="J86" s="4" t="n">
        <x:f>IF(OR(D86="",F86=""),"",D86-F86)</x:f>
        <x:v>0.00020709713300068322</x:v>
      </x:c>
      <x:c r="K86" s="5" t="n">
        <x:f>IFERROR(J86/D86,"")</x:f>
        <x:v>0.0010996307946938933</x:v>
      </x:c>
      <x:c r="L86" s="4" t="n">
        <x:f>IF(OR(E86="",G86=""),"",E86-G86)</x:f>
        <x:v>-0.0001221299171447754</x:v>
      </x:c>
      <x:c r="M86" s="5" t="n">
        <x:f>IFERROR(L86/E86,"")</x:f>
        <x:v>-0.0006504559024468523</x:v>
      </x:c>
      <x:c r="N86" s="4" t="n">
        <x:f>IF(OR(F86="",G86=""),"",F86-G86)</x:f>
        <x:v>0.00024361908435821533</x:v>
      </x:c>
      <x:c r="O86" s="5" t="n">
        <x:f>IFERROR(N86/F86,"")</x:f>
        <x:v>0.001294976656519026</x:v>
      </x:c>
      <x:c r="P86" t="str">
        <x:v>3 seeds: 0 1 2</x:v>
      </x:c>
      <x:c r="Q86" t="str">
        <x:v>3 seeds: 0 1 2</x:v>
      </x:c>
      <x:c r="R86" t="str">
        <x:v>3 seeds: 0 1 2</x:v>
      </x:c>
      <x:c r="S86" t="str">
        <x:v>3 seeds: 0 1 2</x:v>
      </x:c>
    </x:row>
    <x:row r="87">
      <x:c r="A87" t="str">
        <x:v>FreTS</x:v>
      </x:c>
      <x:c r="B87" t="str">
        <x:v>electricity</x:v>
      </x:c>
      <x:c r="C87" t="n">
        <x:v>192</x:v>
      </x:c>
      <x:c r="D87" s="4" t="n">
        <x:v>0.19246666666666665</x:v>
      </x:c>
      <x:c r="E87" s="4" t="n">
        <x:v>0.19057977696259817</x:v>
      </x:c>
      <x:c r="F87" s="4" t="n">
        <x:v>0.18934444089730582</x:v>
      </x:c>
      <x:c r="G87" s="4" t="n">
        <x:v>0.18856987853844961</x:v>
      </x:c>
      <x:c r="H87" s="4" t="n">
        <x:f>IF(OR(D87="",E87=""),"",D87-E87)</x:f>
        <x:v>0.001886889704068473</x:v>
      </x:c>
      <x:c r="I87" s="5" t="n">
        <x:f>IFERROR(H87/D87,"")</x:f>
        <x:v>0.009803722050927293</x:v>
      </x:c>
      <x:c r="J87" s="4" t="n">
        <x:f>IF(OR(D87="",F87=""),"",D87-F87)</x:f>
        <x:v>0.0031222257693608313</x:v>
      </x:c>
      <x:c r="K87" s="5" t="n">
        <x:f>IFERROR(J87/D87,"")</x:f>
        <x:v>0.01622216367870193</x:v>
      </x:c>
      <x:c r="L87" s="4" t="n">
        <x:f>IF(OR(E87="",G87=""),"",E87-G87)</x:f>
        <x:v>0.0020098984241485596</x:v>
      </x:c>
      <x:c r="M87" s="5" t="n">
        <x:f>IFERROR(L87/E87,"")</x:f>
        <x:v>0.010546231379749216</x:v>
      </x:c>
      <x:c r="N87" s="4" t="n">
        <x:f>IF(OR(F87="",G87=""),"",F87-G87)</x:f>
        <x:v>0.0007745623588562012</x:v>
      </x:c>
      <x:c r="O87" s="5" t="n">
        <x:f>IFERROR(N87/F87,"")</x:f>
        <x:v>0.0040907583829001785</x:v>
      </x:c>
      <x:c r="P87" t="str">
        <x:v>3 seeds: 0 1 2</x:v>
      </x:c>
      <x:c r="Q87" t="str">
        <x:v>3 seeds: 0 1 2</x:v>
      </x:c>
      <x:c r="R87" t="str">
        <x:v>3 seeds: 0 1 2</x:v>
      </x:c>
      <x:c r="S87" t="str">
        <x:v>3 seeds: 0 1 2</x:v>
      </x:c>
    </x:row>
    <x:row r="88">
      <x:c r="A88" t="str">
        <x:v>FreTS</x:v>
      </x:c>
      <x:c r="B88" t="str">
        <x:v>electricity</x:v>
      </x:c>
      <x:c r="C88" t="n">
        <x:v>336</x:v>
      </x:c>
      <x:c r="D88" s="4" t="n">
        <x:v>0.209</x:v>
      </x:c>
      <x:c r="E88" s="4" t="n">
        <x:v>0.20153055091698965</x:v>
      </x:c>
      <x:c r="F88" s="4" t="n">
        <x:v>0.19832178950309753</x:v>
      </x:c>
      <x:c r="G88" s="4" t="n">
        <x:v>0.19837614397207895</x:v>
      </x:c>
      <x:c r="H88" s="4" t="n">
        <x:f>IF(OR(D88="",E88=""),"",D88-E88)</x:f>
        <x:v>0.007469449083010338</x:v>
      </x:c>
      <x:c r="I88" s="5" t="n">
        <x:f>IFERROR(H88/D88,"")</x:f>
        <x:v>0.03573899082780066</x:v>
      </x:c>
      <x:c r="J88" s="4" t="n">
        <x:f>IF(OR(D88="",F88=""),"",D88-F88)</x:f>
        <x:v>0.010678210496902457</x:v>
      </x:c>
      <x:c r="K88" s="5" t="n">
        <x:f>IFERROR(J88/D88,"")</x:f>
        <x:v>0.05109191625312181</x:v>
      </x:c>
      <x:c r="L88" s="4" t="n">
        <x:f>IF(OR(E88="",G88=""),"",E88-G88)</x:f>
        <x:v>0.0031544069449107037</x:v>
      </x:c>
      <x:c r="M88" s="5" t="n">
        <x:f>IFERROR(L88/E88,"")</x:f>
        <x:v>0.01565225188219727</x:v>
      </x:c>
      <x:c r="N88" s="4" t="n">
        <x:f>IF(OR(F88="",G88=""),"",F88-G88)</x:f>
        <x:v>-0.000054354468981415716</x:v>
      </x:c>
      <x:c r="O88" s="5" t="n">
        <x:f>IFERROR(N88/F88,"")</x:f>
        <x:v>-0.00027407209826818736</x:v>
      </x:c>
      <x:c r="P88" t="str">
        <x:v>3 seeds: 0 1 2</x:v>
      </x:c>
      <x:c r="Q88" t="str">
        <x:v>3 seeds: 0 1 2</x:v>
      </x:c>
      <x:c r="R88" t="str">
        <x:v>3 seeds: 0 1 2</x:v>
      </x:c>
      <x:c r="S88" t="str">
        <x:v>3 seeds: 0 1 2</x:v>
      </x:c>
    </x:row>
    <x:row r="89">
      <x:c r="A89" t="str">
        <x:v>FreTS</x:v>
      </x:c>
      <x:c r="B89" t="str">
        <x:v>electricity</x:v>
      </x:c>
      <x:c r="C89" t="n">
        <x:v>720</x:v>
      </x:c>
      <x:c r="D89" s="4" t="n">
        <x:v>0.25183333333333335</x:v>
      </x:c>
      <x:c r="E89" s="4" t="n">
        <x:v>0.23076996207237244</x:v>
      </x:c>
      <x:c r="F89" s="4" t="n">
        <x:v>0.22500399748484293</x:v>
      </x:c>
      <x:c r="G89" s="4" t="n">
        <x:v>0.21156437695026398</x:v>
      </x:c>
      <x:c r="H89" s="4" t="n">
        <x:f>IF(OR(D89="",E89=""),"",D89-E89)</x:f>
        <x:v>0.021063371260960917</x:v>
      </x:c>
      <x:c r="I89" s="5" t="n">
        <x:f>IFERROR(H89/D89,"")</x:f>
        <x:v>0.0836401241335311</x:v>
      </x:c>
      <x:c r="J89" s="4" t="n">
        <x:f>IF(OR(D89="",F89=""),"",D89-F89)</x:f>
        <x:v>0.026829335848490427</x:v>
      </x:c>
      <x:c r="K89" s="5" t="n">
        <x:f>IFERROR(J89/D89,"")</x:f>
        <x:v>0.10653607881597786</x:v>
      </x:c>
      <x:c r="L89" s="4" t="n">
        <x:f>IF(OR(E89="",G89=""),"",E89-G89)</x:f>
        <x:v>0.01920558512210846</x:v>
      </x:c>
      <x:c r="M89" s="5" t="n">
        <x:f>IFERROR(L89/E89,"")</x:f>
        <x:v>0.08322393846078348</x:v>
      </x:c>
      <x:c r="N89" s="4" t="n">
        <x:f>IF(OR(F89="",G89=""),"",F89-G89)</x:f>
        <x:v>0.01343962053457895</x:v>
      </x:c>
      <x:c r="O89" s="5" t="n">
        <x:f>IFERROR(N89/F89,"")</x:f>
        <x:v>0.05973058561097027</x:v>
      </x:c>
      <x:c r="P89" t="str">
        <x:v>3 seeds: 0 1 2</x:v>
      </x:c>
      <x:c r="Q89" t="str">
        <x:v>3 seeds: 0 1 2</x:v>
      </x:c>
      <x:c r="R89" t="str">
        <x:v>3 seeds: 0 1 2</x:v>
      </x:c>
      <x:c r="S89" t="str">
        <x:v>3 seeds: 0 1 2</x:v>
      </x:c>
    </x:row>
    <x:row r="90">
      <x:c r="A90" t="str">
        <x:v>PatchTST</x:v>
      </x:c>
      <x:c r="B90" t="str">
        <x:v>ETTh1</x:v>
      </x:c>
      <x:c r="C90" t="n">
        <x:v>96</x:v>
      </x:c>
      <x:c r="D90" s="4" t="n">
        <x:v>0.48273333333333335</x:v>
      </x:c>
      <x:c r="E90" s="4" t="n">
        <x:v>0.4215563138326009</x:v>
      </x:c>
      <x:c r="F90" s="4" t="n">
        <x:v>0.4247053066889445</x:v>
      </x:c>
      <x:c r="G90" s="4" t="n">
        <x:v>0.4093315005302429</x:v>
      </x:c>
      <x:c r="H90" s="4" t="n">
        <x:f>IF(OR(D90="",E90=""),"",D90-E90)</x:f>
        <x:v>0.061177019500732455</x:v>
      </x:c>
      <x:c r="I90" s="5" t="n">
        <x:f>IFERROR(H90/D90,"")</x:f>
        <x:v>0.12673046437107952</x:v>
      </x:c>
      <x:c r="J90" s="4" t="n">
        <x:f>IF(OR(D90="",F90=""),"",D90-F90)</x:f>
        <x:v>0.05802802664438883</x:v>
      </x:c>
      <x:c r="K90" s="5" t="n">
        <x:f>IFERROR(J90/D90,"")</x:f>
        <x:v>0.12020720890289081</x:v>
      </x:c>
      <x:c r="L90" s="4" t="n">
        <x:f>IF(OR(E90="",G90=""),"",E90-G90)</x:f>
        <x:v>0.012224813302357973</x:v>
      </x:c>
      <x:c r="M90" s="5" t="n">
        <x:f>IFERROR(L90/E90,"")</x:f>
        <x:v>0.028999241385369027</x:v>
      </x:c>
      <x:c r="N90" s="4" t="n">
        <x:f>IF(OR(F90="",G90=""),"",F90-G90)</x:f>
        <x:v>0.015373806158701597</x:v>
      </x:c>
      <x:c r="O90" s="5" t="n">
        <x:f>IFERROR(N90/F90,"")</x:f>
        <x:v>0.0361987616273451</x:v>
      </x:c>
      <x:c r="P90" t="str">
        <x:v>3 seeds: 0 1 2</x:v>
      </x:c>
      <x:c r="Q90" t="str">
        <x:v>3 seeds: 0 1 2</x:v>
      </x:c>
      <x:c r="R90" t="str">
        <x:v>3 seeds: 0 1 2</x:v>
      </x:c>
      <x:c r="S90" t="str">
        <x:v>3 seeds: 0 1 2</x:v>
      </x:c>
    </x:row>
    <x:row r="91">
      <x:c r="A91" t="str">
        <x:v>PatchTST</x:v>
      </x:c>
      <x:c r="B91" t="str">
        <x:v>ETTh1</x:v>
      </x:c>
      <x:c r="C91" t="n">
        <x:v>192</x:v>
      </x:c>
      <x:c r="D91" s="4" t="n">
        <x:v>0.5451666666666667</x:v>
      </x:c>
      <x:c r="E91" s="4" t="n">
        <x:v>0.4862701694170634</x:v>
      </x:c>
      <x:c r="F91" s="4" t="n">
        <x:v>0.49522096912066144</x:v>
      </x:c>
      <x:c r="G91" s="4" t="n">
        <x:v>0.4727175732453664</x:v>
      </x:c>
      <x:c r="H91" s="4" t="n">
        <x:f>IF(OR(D91="",E91=""),"",D91-E91)</x:f>
        <x:v>0.058896497249603275</x:v>
      </x:c>
      <x:c r="I91" s="5" t="n">
        <x:f>IFERROR(H91/D91,"")</x:f>
        <x:v>0.10803392953152542</x:v>
      </x:c>
      <x:c r="J91" s="4" t="n">
        <x:f>IF(OR(D91="",F91=""),"",D91-F91)</x:f>
        <x:v>0.04994569754600525</x:v>
      </x:c>
      <x:c r="K91" s="5" t="n">
        <x:f>IFERROR(J91/D91,"")</x:f>
        <x:v>0.09161546477408483</x:v>
      </x:c>
      <x:c r="L91" s="4" t="n">
        <x:f>IF(OR(E91="",G91=""),"",E91-G91)</x:f>
        <x:v>0.013552596171697018</x:v>
      </x:c>
      <x:c r="M91" s="5" t="n">
        <x:f>IFERROR(L91/E91,"")</x:f>
        <x:v>0.027870507022760116</x:v>
      </x:c>
      <x:c r="N91" s="4" t="n">
        <x:f>IF(OR(F91="",G91=""),"",F91-G91)</x:f>
        <x:v>0.02250339587529504</x:v>
      </x:c>
      <x:c r="O91" s="5" t="n">
        <x:f>IFERROR(N91/F91,"")</x:f>
        <x:v>0.045441120789479435</x:v>
      </x:c>
      <x:c r="P91" t="str">
        <x:v>3 seeds: 0 1 2</x:v>
      </x:c>
      <x:c r="Q91" t="str">
        <x:v>3 seeds: 0 1 2</x:v>
      </x:c>
      <x:c r="R91" t="str">
        <x:v>3 seeds: 0 1 2</x:v>
      </x:c>
      <x:c r="S91" t="str">
        <x:v>3 seeds: 0 1 2</x:v>
      </x:c>
    </x:row>
    <x:row r="92">
      <x:c r="A92" t="str">
        <x:v>PatchTST</x:v>
      </x:c>
      <x:c r="B92" t="str">
        <x:v>ETTh1</x:v>
      </x:c>
      <x:c r="C92" t="n">
        <x:v>336</x:v>
      </x:c>
      <x:c r="D92" s="4" t="n">
        <x:v>0.6126333333333334</x:v>
      </x:c>
      <x:c r="E92" s="4" t="n">
        <x:v>0.5593735774358114</x:v>
      </x:c>
      <x:c r="F92" s="4" t="n">
        <x:v>0.5162452658017477</x:v>
      </x:c>
      <x:c r="G92" s="4" t="n">
        <x:v>0.5285506049791971</x:v>
      </x:c>
      <x:c r="H92" s="4" t="n">
        <x:f>IF(OR(D92="",E92=""),"",D92-E92)</x:f>
        <x:v>0.053259755897521965</x:v>
      </x:c>
      <x:c r="I92" s="5" t="n">
        <x:f>IFERROR(H92/D92,"")</x:f>
        <x:v>0.0869357787107927</x:v>
      </x:c>
      <x:c r="J92" s="4" t="n">
        <x:f>IF(OR(D92="",F92=""),"",D92-F92)</x:f>
        <x:v>0.09638806753158569</x:v>
      </x:c>
      <x:c r="K92" s="5" t="n">
        <x:f>IFERROR(J92/D92,"")</x:f>
        <x:v>0.15733402393751403</x:v>
      </x:c>
      <x:c r="L92" s="4" t="n">
        <x:f>IF(OR(E92="",G92=""),"",E92-G92)</x:f>
        <x:v>0.03082297245661425</x:v>
      </x:c>
      <x:c r="M92" s="5" t="n">
        <x:f>IFERROR(L92/E92,"")</x:f>
        <x:v>0.05510266072614274</x:v>
      </x:c>
      <x:c r="N92" s="4" t="n">
        <x:f>IF(OR(F92="",G92=""),"",F92-G92)</x:f>
        <x:v>-0.01230533917744947</x:v>
      </x:c>
      <x:c r="O92" s="5" t="n">
        <x:f>IFERROR(N92/F92,"")</x:f>
        <x:v>-0.023836226678686984</x:v>
      </x:c>
      <x:c r="P92" t="str">
        <x:v>3 seeds: 0 1 2</x:v>
      </x:c>
      <x:c r="Q92" t="str">
        <x:v>3 seeds: 0 1 2</x:v>
      </x:c>
      <x:c r="R92" t="str">
        <x:v>3 seeds: 0 1 2</x:v>
      </x:c>
      <x:c r="S92" t="str">
        <x:v>3 seeds: 0 1 2</x:v>
      </x:c>
    </x:row>
    <x:row r="93">
      <x:c r="A93" t="str">
        <x:v>PatchTST</x:v>
      </x:c>
      <x:c r="B93" t="str">
        <x:v>ETTh1</x:v>
      </x:c>
      <x:c r="C93" t="n">
        <x:v>720</x:v>
      </x:c>
      <x:c r="D93" s="4" t="n">
        <x:v>0.8043666666666667</x:v>
      </x:c>
      <x:c r="E93" s="4" t="n">
        <x:v>0.6667301654815674</x:v>
      </x:c>
      <x:c r="F93" s="4" t="n">
        <x:v>0.6058636903762817</x:v>
      </x:c>
      <x:c r="G93" s="4" t="n">
        <x:v>0.5952693422635397</x:v>
      </x:c>
      <x:c r="H93" s="4" t="n">
        <x:f>IF(OR(D93="",E93=""),"",D93-E93)</x:f>
        <x:v>0.1376365011850993</x:v>
      </x:c>
      <x:c r="I93" s="5" t="n">
        <x:f>IFERROR(H93/D93,"")</x:f>
        <x:v>0.1711116421015697</x:v>
      </x:c>
      <x:c r="J93" s="4" t="n">
        <x:f>IF(OR(D93="",F93=""),"",D93-F93)</x:f>
        <x:v>0.19850297629038494</x:v>
      </x:c>
      <x:c r="K93" s="5" t="n">
        <x:f>IFERROR(J93/D93,"")</x:f>
        <x:v>0.24678170356435905</x:v>
      </x:c>
      <x:c r="L93" s="4" t="n">
        <x:f>IF(OR(E93="",G93=""),"",E93-G93)</x:f>
        <x:v>0.07146082321802771</x:v>
      </x:c>
      <x:c r="M93" s="5" t="n">
        <x:f>IFERROR(L93/E93,"")</x:f>
        <x:v>0.10718102602484295</x:v>
      </x:c>
      <x:c r="N93" s="4" t="n">
        <x:f>IF(OR(F93="",G93=""),"",F93-G93)</x:f>
        <x:v>0.010594348112742069</x:v>
      </x:c>
      <x:c r="O93" s="5" t="n">
        <x:f>IFERROR(N93/F93,"")</x:f>
        <x:v>0.017486355893290572</x:v>
      </x:c>
      <x:c r="P93" t="str">
        <x:v>3 seeds: 0 1 2</x:v>
      </x:c>
      <x:c r="Q93" t="str">
        <x:v>3 seeds: 0 1 2</x:v>
      </x:c>
      <x:c r="R93" t="str">
        <x:v>3 seeds: 0 1 2</x:v>
      </x:c>
      <x:c r="S93" t="str">
        <x:v>3 seeds: 0 1 2</x:v>
      </x:c>
    </x:row>
    <x:row r="94">
      <x:c r="A94" t="str">
        <x:v>PatchTST</x:v>
      </x:c>
      <x:c r="B94" t="str">
        <x:v>ETTh2</x:v>
      </x:c>
      <x:c r="C94" t="n">
        <x:v>96</x:v>
      </x:c>
      <x:c r="D94" s="4" t="n">
        <x:v>0.19286666666666666</x:v>
      </x:c>
      <x:c r="E94" s="4" t="n">
        <x:v>0.18864086270332336</x:v>
      </x:c>
      <x:c r="F94" s="4" t="n">
        <x:v>0.18623617788155875</x:v>
      </x:c>
      <x:c r="G94" s="4" t="n">
        <x:v>0.18730342388153076</x:v>
      </x:c>
      <x:c r="H94" s="4" t="n">
        <x:f>IF(OR(D94="",E94=""),"",D94-E94)</x:f>
        <x:v>0.004225803963343294</x:v>
      </x:c>
      <x:c r="I94" s="5" t="n">
        <x:f>IFERROR(H94/D94,"")</x:f>
        <x:v>0.021910494106515525</x:v>
      </x:c>
      <x:c r="J94" s="4" t="n">
        <x:f>IF(OR(D94="",F94=""),"",D94-F94)</x:f>
        <x:v>0.006630488785107913</x:v>
      </x:c>
      <x:c r="K94" s="5" t="n">
        <x:f>IFERROR(J94/D94,"")</x:f>
        <x:v>0.03437861450971957</x:v>
      </x:c>
      <x:c r="L94" s="4" t="n">
        <x:f>IF(OR(E94="",G94=""),"",E94-G94)</x:f>
        <x:v>0.0013374388217926025</x:v>
      </x:c>
      <x:c r="M94" s="5" t="n">
        <x:f>IFERROR(L94/E94,"")</x:f>
        <x:v>0.007089868030851835</x:v>
      </x:c>
      <x:c r="N94" s="4" t="n">
        <x:f>IF(OR(F94="",G94=""),"",F94-G94)</x:f>
        <x:v>-0.0010672459999720163</x:v>
      </x:c>
      <x:c r="O94" s="5" t="n">
        <x:f>IFERROR(N94/F94,"")</x:f>
        <x:v>-0.005730605149396678</x:v>
      </x:c>
      <x:c r="P94" t="str">
        <x:v>3 seeds: 0 1 2</x:v>
      </x:c>
      <x:c r="Q94" t="str">
        <x:v>3 seeds: 0 1 2</x:v>
      </x:c>
      <x:c r="R94" t="str">
        <x:v>3 seeds: 0 1 2</x:v>
      </x:c>
      <x:c r="S94" t="str">
        <x:v>3 seeds: 0 1 2</x:v>
      </x:c>
    </x:row>
    <x:row r="95">
      <x:c r="A95" t="str">
        <x:v>PatchTST</x:v>
      </x:c>
      <x:c r="B95" t="str">
        <x:v>ETTh2</x:v>
      </x:c>
      <x:c r="C95" t="n">
        <x:v>192</x:v>
      </x:c>
      <x:c r="D95" s="4" t="n">
        <x:v>0.2316</x:v>
      </x:c>
      <x:c r="E95" s="4" t="n">
        <x:v>0.23486915727456412</x:v>
      </x:c>
      <x:c r="F95" s="4" t="n">
        <x:v>0.2334043582280477</x:v>
      </x:c>
      <x:c r="G95" s="4" t="n">
        <x:v>0.23807235062122345</x:v>
      </x:c>
      <x:c r="H95" s="4" t="n">
        <x:f>IF(OR(D95="",E95=""),"",D95-E95)</x:f>
        <x:v>-0.003269157274564116</x:v>
      </x:c>
      <x:c r="I95" s="5" t="n">
        <x:f>IFERROR(H95/D95,"")</x:f>
        <x:v>-0.014115532273592902</x:v>
      </x:c>
      <x:c r="J95" s="4" t="n">
        <x:f>IF(OR(D95="",F95=""),"",D95-F95)</x:f>
        <x:v>-0.0018043582280476977</x:v>
      </x:c>
      <x:c r="K95" s="5" t="n">
        <x:f>IFERROR(J95/D95,"")</x:f>
        <x:v>-0.007790838635784532</x:v>
      </x:c>
      <x:c r="L95" s="4" t="n">
        <x:f>IF(OR(E95="",G95=""),"",E95-G95)</x:f>
        <x:v>-0.003203193346659333</x:v>
      </x:c>
      <x:c r="M95" s="5" t="n">
        <x:f>IFERROR(L95/E95,"")</x:f>
        <x:v>-0.013638203431346125</x:v>
      </x:c>
      <x:c r="N95" s="4" t="n">
        <x:f>IF(OR(F95="",G95=""),"",F95-G95)</x:f>
        <x:v>-0.004667992393175752</x:v>
      </x:c>
      <x:c r="O95" s="5" t="n">
        <x:f>IFERROR(N95/F95,"")</x:f>
        <x:v>-0.019999593960515896</x:v>
      </x:c>
      <x:c r="P95" t="str">
        <x:v>3 seeds: 0 1 2</x:v>
      </x:c>
      <x:c r="Q95" t="str">
        <x:v>3 seeds: 0 1 2</x:v>
      </x:c>
      <x:c r="R95" t="str">
        <x:v>3 seeds: 0 1 2</x:v>
      </x:c>
      <x:c r="S95" t="str">
        <x:v>3 seeds: 0 1 2</x:v>
      </x:c>
    </x:row>
    <x:row r="96">
      <x:c r="A96" t="str">
        <x:v>PatchTST</x:v>
      </x:c>
      <x:c r="B96" t="str">
        <x:v>ETTh2</x:v>
      </x:c>
      <x:c r="C96" t="n">
        <x:v>336</x:v>
      </x:c>
      <x:c r="D96" s="4" t="n">
        <x:v>0.2641</x:v>
      </x:c>
      <x:c r="E96" s="4" t="n">
        <x:v>0.25714191297690075</x:v>
      </x:c>
      <x:c r="F96" s="4" t="n">
        <x:v>0.25970516602198285</x:v>
      </x:c>
      <x:c r="G96" s="4" t="n">
        <x:v>0.2528233875830968</x:v>
      </x:c>
      <x:c r="H96" s="4" t="n">
        <x:f>IF(OR(D96="",E96=""),"",D96-E96)</x:f>
        <x:v>0.006958087023099246</x:v>
      </x:c>
      <x:c r="I96" s="5" t="n">
        <x:f>IFERROR(H96/D96,"")</x:f>
        <x:v>0.026346410538050914</x:v>
      </x:c>
      <x:c r="J96" s="4" t="n">
        <x:f>IF(OR(D96="",F96=""),"",D96-F96)</x:f>
        <x:v>0.004394833978017154</x:v>
      </x:c>
      <x:c r="K96" s="5" t="n">
        <x:f>IFERROR(J96/D96,"")</x:f>
        <x:v>0.016640795070114178</x:v>
      </x:c>
      <x:c r="L96" s="4" t="n">
        <x:f>IF(OR(E96="",G96=""),"",E96-G96)</x:f>
        <x:v>0.004318525393803951</x:v>
      </x:c>
      <x:c r="M96" s="5" t="n">
        <x:f>IFERROR(L96/E96,"")</x:f>
        <x:v>0.016794327085028288</x:v>
      </x:c>
      <x:c r="N96" s="4" t="n">
        <x:f>IF(OR(F96="",G96=""),"",F96-G96)</x:f>
        <x:v>0.006881778438886044</x:v>
      </x:c>
      <x:c r="O96" s="5" t="n">
        <x:f>IFERROR(N96/F96,"")</x:f>
        <x:v>0.026498427213818045</x:v>
      </x:c>
      <x:c r="P96" t="str">
        <x:v>3 seeds: 0 1 2</x:v>
      </x:c>
      <x:c r="Q96" t="str">
        <x:v>3 seeds: 0 1 2</x:v>
      </x:c>
      <x:c r="R96" t="str">
        <x:v>3 seeds: 0 1 2</x:v>
      </x:c>
      <x:c r="S96" t="str">
        <x:v>3 seeds: 0 1 2</x:v>
      </x:c>
    </x:row>
    <x:row r="97">
      <x:c r="A97" t="str">
        <x:v>PatchTST</x:v>
      </x:c>
      <x:c r="B97" t="str">
        <x:v>ETTh2</x:v>
      </x:c>
      <x:c r="C97" t="n">
        <x:v>720</x:v>
      </x:c>
      <x:c r="D97" s="4" t="n">
        <x:v>0.31766666666666665</x:v>
      </x:c>
      <x:c r="E97" s="4" t="n">
        <x:v>0.2861035267512004</x:v>
      </x:c>
      <x:c r="F97" s="4" t="n">
        <x:v>0.28287429610888165</x:v>
      </x:c>
      <x:c r="G97" s="4" t="n">
        <x:v>0.2822403808434804</x:v>
      </x:c>
      <x:c r="H97" s="4" t="n">
        <x:f>IF(OR(D97="",E97=""),"",D97-E97)</x:f>
        <x:v>0.031563139915466276</x:v>
      </x:c>
      <x:c r="I97" s="5" t="n">
        <x:f>IFERROR(H97/D97,"")</x:f>
        <x:v>0.09935930718404914</x:v>
      </x:c>
      <x:c r="J97" s="4" t="n">
        <x:f>IF(OR(D97="",F97=""),"",D97-F97)</x:f>
        <x:v>0.034792370557785</x:v>
      </x:c>
      <x:c r="K97" s="5" t="n">
        <x:f>IFERROR(J97/D97,"")</x:f>
        <x:v>0.10952477615252362</x:v>
      </x:c>
      <x:c r="L97" s="4" t="n">
        <x:f>IF(OR(E97="",G97=""),"",E97-G97)</x:f>
        <x:v>0.003863145907719967</x:v>
      </x:c>
      <x:c r="M97" s="5" t="n">
        <x:f>IFERROR(L97/E97,"")</x:f>
        <x:v>0.013502615474850167</x:v>
      </x:c>
      <x:c r="N97" s="4" t="n">
        <x:f>IF(OR(F97="",G97=""),"",F97-G97)</x:f>
        <x:v>0.0006339152654012414</x:v>
      </x:c>
      <x:c r="O97" s="5" t="n">
        <x:f>IFERROR(N97/F97,"")</x:f>
        <x:v>0.0022409786754086698</x:v>
      </x:c>
      <x:c r="P97" t="str">
        <x:v>3 seeds: 0 1 2</x:v>
      </x:c>
      <x:c r="Q97" t="str">
        <x:v>3 seeds: 0 1 2</x:v>
      </x:c>
      <x:c r="R97" t="str">
        <x:v>3 seeds: 0 1 2</x:v>
      </x:c>
      <x:c r="S97" t="str">
        <x:v>3 seeds: 0 1 2</x:v>
      </x:c>
    </x:row>
    <x:row r="98">
      <x:c r="A98" t="str">
        <x:v>PatchTST</x:v>
      </x:c>
      <x:c r="B98" t="str">
        <x:v>ETTm1</x:v>
      </x:c>
      <x:c r="C98" t="n">
        <x:v>96</x:v>
      </x:c>
      <x:c r="D98" s="4" t="n">
        <x:v>0.43866666666666665</x:v>
      </x:c>
      <x:c r="E98" s="4" t="n">
        <x:v>0.3684692084789276</x:v>
      </x:c>
      <x:c r="F98" s="4" t="n">
        <x:v>0.36621227860450745</x:v>
      </x:c>
      <x:c r="G98" s="4" t="n">
        <x:v>0.3566473027070363</x:v>
      </x:c>
      <x:c r="H98" s="4" t="n">
        <x:f>IF(OR(D98="",E98=""),"",D98-E98)</x:f>
        <x:v>0.07019745818773904</x:v>
      </x:c>
      <x:c r="I98" s="5" t="n">
        <x:f>IFERROR(H98/D98,"")</x:f>
        <x:v>0.1600246007319279</x:v>
      </x:c>
      <x:c r="J98" s="4" t="n">
        <x:f>IF(OR(D98="",F98=""),"",D98-F98)</x:f>
        <x:v>0.0724543880621592</x:v>
      </x:c>
      <x:c r="K98" s="5" t="n">
        <x:f>IFERROR(J98/D98,"")</x:f>
        <x:v>0.1651695776492991</x:v>
      </x:c>
      <x:c r="L98" s="4" t="n">
        <x:f>IF(OR(E98="",G98=""),"",E98-G98)</x:f>
        <x:v>0.011821905771891295</x:v>
      </x:c>
      <x:c r="M98" s="5" t="n">
        <x:f>IFERROR(L98/E98,"")</x:f>
        <x:v>0.032083836314825684</x:v>
      </x:c>
      <x:c r="N98" s="4" t="n">
        <x:f>IF(OR(F98="",G98=""),"",F98-G98)</x:f>
        <x:v>0.009564975897471129</x:v>
      </x:c>
      <x:c r="O98" s="5" t="n">
        <x:f>IFERROR(N98/F98,"")</x:f>
        <x:v>0.0261186652012858</x:v>
      </x:c>
      <x:c r="P98" t="str">
        <x:v>3 seeds: 0 1 2</x:v>
      </x:c>
      <x:c r="Q98" t="str">
        <x:v>3 seeds: 0 1 2</x:v>
      </x:c>
      <x:c r="R98" t="str">
        <x:v>3 seeds: 0 1 2</x:v>
      </x:c>
      <x:c r="S98" t="str">
        <x:v>3 seeds: 0 1 2</x:v>
      </x:c>
    </x:row>
    <x:row r="99">
      <x:c r="A99" t="str">
        <x:v>PatchTST</x:v>
      </x:c>
      <x:c r="B99" t="str">
        <x:v>ETTm1</x:v>
      </x:c>
      <x:c r="C99" t="n">
        <x:v>192</x:v>
      </x:c>
      <x:c r="D99" s="4" t="n">
        <x:v>0.4817</x:v>
      </x:c>
      <x:c r="E99" s="4" t="n">
        <x:v>0.43228967984517414</x:v>
      </x:c>
      <x:c r="F99" s="4" t="n">
        <x:v>0.42237961292266846</x:v>
      </x:c>
      <x:c r="G99" s="4" t="n">
        <x:v>0.4113490382830302</x:v>
      </x:c>
      <x:c r="H99" s="4" t="n">
        <x:f>IF(OR(D99="",E99=""),"",D99-E99)</x:f>
        <x:v>0.04941032015482588</x:v>
      </x:c>
      <x:c r="I99" s="5" t="n">
        <x:f>IFERROR(H99/D99,"")</x:f>
        <x:v>0.10257488095251377</x:v>
      </x:c>
      <x:c r="J99" s="4" t="n">
        <x:f>IF(OR(D99="",F99=""),"",D99-F99)</x:f>
        <x:v>0.05932038707733156</x:v>
      </x:c>
      <x:c r="K99" s="5" t="n">
        <x:f>IFERROR(J99/D99,"")</x:f>
        <x:v>0.12314799061102669</x:v>
      </x:c>
      <x:c r="L99" s="4" t="n">
        <x:f>IF(OR(E99="",G99=""),"",E99-G99)</x:f>
        <x:v>0.020940641562143925</x:v>
      </x:c>
      <x:c r="M99" s="5" t="n">
        <x:f>IFERROR(L99/E99,"")</x:f>
        <x:v>0.048441224804727886</x:v>
      </x:c>
      <x:c r="N99" s="4" t="n">
        <x:f>IF(OR(F99="",G99=""),"",F99-G99)</x:f>
        <x:v>0.011030574639638246</x:v>
      </x:c>
      <x:c r="O99" s="5" t="n">
        <x:f>IFERROR(N99/F99,"")</x:f>
        <x:v>0.026115310261572173</x:v>
      </x:c>
      <x:c r="P99" t="str">
        <x:v>3 seeds: 0 1 2</x:v>
      </x:c>
      <x:c r="Q99" t="str">
        <x:v>3 seeds: 0 1 2</x:v>
      </x:c>
      <x:c r="R99" t="str">
        <x:v>3 seeds: 0 1 2</x:v>
      </x:c>
      <x:c r="S99" t="str">
        <x:v>3 seeds: 0 1 2</x:v>
      </x:c>
    </x:row>
    <x:row r="100">
      <x:c r="A100" t="str">
        <x:v>PatchTST</x:v>
      </x:c>
      <x:c r="B100" t="str">
        <x:v>ETTm1</x:v>
      </x:c>
      <x:c r="C100" t="n">
        <x:v>336</x:v>
      </x:c>
      <x:c r="D100" s="4" t="n">
        <x:v>0.5403333333333333</x:v>
      </x:c>
      <x:c r="E100" s="4" t="n">
        <x:v>0.49682679772377014</x:v>
      </x:c>
      <x:c r="F100" s="4" t="n">
        <x:v>0.49631453553835553</x:v>
      </x:c>
      <x:c r="G100" s="4" t="n">
        <x:v>0.4641507565975189</x:v>
      </x:c>
      <x:c r="H100" s="4" t="n">
        <x:f>IF(OR(D100="",E100=""),"",D100-E100)</x:f>
        <x:v>0.04350653560956319</x:v>
      </x:c>
      <x:c r="I100" s="5" t="n">
        <x:f>IFERROR(H100/D100,"")</x:f>
        <x:v>0.08051795609419468</x:v>
      </x:c>
      <x:c r="J100" s="4" t="n">
        <x:f>IF(OR(D100="",F100=""),"",D100-F100)</x:f>
        <x:v>0.044018797794977804</x:v>
      </x:c>
      <x:c r="K100" s="5" t="n">
        <x:f>IFERROR(J100/D100,"")</x:f>
        <x:v>0.08146600455578866</x:v>
      </x:c>
      <x:c r="L100" s="4" t="n">
        <x:f>IF(OR(E100="",G100=""),"",E100-G100)</x:f>
        <x:v>0.03267604112625122</x:v>
      </x:c>
      <x:c r="M100" s="5" t="n">
        <x:f>IFERROR(L100/E100,"")</x:f>
        <x:v>0.06576948199243213</x:v>
      </x:c>
      <x:c r="N100" s="4" t="n">
        <x:f>IF(OR(F100="",G100=""),"",F100-G100)</x:f>
        <x:v>0.03216377894083661</x:v>
      </x:c>
      <x:c r="O100" s="5" t="n">
        <x:f>IFERROR(N100/F100,"")</x:f>
        <x:v>0.06480523264535937</x:v>
      </x:c>
      <x:c r="P100" t="str">
        <x:v>3 seeds: 0 1 2</x:v>
      </x:c>
      <x:c r="Q100" t="str">
        <x:v>3 seeds: 0 1 2</x:v>
      </x:c>
      <x:c r="R100" t="str">
        <x:v>3 seeds: 0 1 2</x:v>
      </x:c>
      <x:c r="S100" t="str">
        <x:v>3 seeds: 0 1 2</x:v>
      </x:c>
    </x:row>
    <x:row r="101">
      <x:c r="A101" t="str">
        <x:v>PatchTST</x:v>
      </x:c>
      <x:c r="B101" t="str">
        <x:v>ETTm1</x:v>
      </x:c>
      <x:c r="C101" t="n">
        <x:v>720</x:v>
      </x:c>
      <x:c r="D101" s="4" t="n">
        <x:v>0.5972333333333334</x:v>
      </x:c>
      <x:c r="E101" s="4" t="n">
        <x:v>0.5308690667152405</x:v>
      </x:c>
      <x:c r="F101" s="4" t="n">
        <x:v>0.5604209502538046</x:v>
      </x:c>
      <x:c r="G101" s="4" t="n">
        <x:v>0.46276913086573285</x:v>
      </x:c>
      <x:c r="H101" s="4" t="n">
        <x:f>IF(OR(D101="",E101=""),"",D101-E101)</x:f>
        <x:v>0.06636426661809292</x:v>
      </x:c>
      <x:c r="I101" s="5" t="n">
        <x:f>IFERROR(H101/D101,"")</x:f>
        <x:v>0.11111949536991612</x:v>
      </x:c>
      <x:c r="J101" s="4" t="n">
        <x:f>IF(OR(D101="",F101=""),"",D101-F101)</x:f>
        <x:v>0.03681238307952883</x:v>
      </x:c>
      <x:c r="K101" s="5" t="n">
        <x:f>IFERROR(J101/D101,"")</x:f>
        <x:v>0.06163819235284171</x:v>
      </x:c>
      <x:c r="L101" s="4" t="n">
        <x:f>IF(OR(E101="",G101=""),"",E101-G101)</x:f>
        <x:v>0.06809993584950763</x:v>
      </x:c>
      <x:c r="M101" s="5" t="n">
        <x:f>IFERROR(L101/E101,"")</x:f>
        <x:v>0.12828009789848352</x:v>
      </x:c>
      <x:c r="N101" s="4" t="n">
        <x:f>IF(OR(F101="",G101=""),"",F101-G101)</x:f>
        <x:v>0.09765181938807171</x:v>
      </x:c>
      <x:c r="O101" s="5" t="n">
        <x:f>IFERROR(N101/F101,"")</x:f>
        <x:v>0.17424726777942004</x:v>
      </x:c>
      <x:c r="P101" t="str">
        <x:v>3 seeds: 0 1 2</x:v>
      </x:c>
      <x:c r="Q101" t="str">
        <x:v>3 seeds: 0 1 2</x:v>
      </x:c>
      <x:c r="R101" t="str">
        <x:v>3 seeds: 0 1 2</x:v>
      </x:c>
      <x:c r="S101" t="str">
        <x:v>3 seeds: 0 1 2</x:v>
      </x:c>
    </x:row>
    <x:row r="102">
      <x:c r="A102" t="str">
        <x:v>PatchTST</x:v>
      </x:c>
      <x:c r="B102" t="str">
        <x:v>ETTm2</x:v>
      </x:c>
      <x:c r="C102" t="n">
        <x:v>96</x:v>
      </x:c>
      <x:c r="D102" s="4" t="n">
        <x:v>0.12416666666666666</x:v>
      </x:c>
      <x:c r="E102" s="4" t="n">
        <x:v>0.12111697594324748</x:v>
      </x:c>
      <x:c r="F102" s="4" t="n">
        <x:v>0.11984926710526149</x:v>
      </x:c>
      <x:c r="G102" s="4" t="n">
        <x:v>0.12053919086853664</x:v>
      </x:c>
      <x:c r="H102" s="4" t="n">
        <x:f>IF(OR(D102="",E102=""),"",D102-E102)</x:f>
        <x:v>0.0030496907234191795</x:v>
      </x:c>
      <x:c r="I102" s="5" t="n">
        <x:f>IFERROR(H102/D102,"")</x:f>
        <x:v>0.02456126757116118</x:v>
      </x:c>
      <x:c r="J102" s="4" t="n">
        <x:f>IF(OR(D102="",F102=""),"",D102-F102)</x:f>
        <x:v>0.004317399561405172</x:v>
      </x:c>
      <x:c r="K102" s="5" t="n">
        <x:f>IFERROR(J102/D102,"")</x:f>
        <x:v>0.034771003179102054</x:v>
      </x:c>
      <x:c r="L102" s="4" t="n">
        <x:f>IF(OR(E102="",G102=""),"",E102-G102)</x:f>
        <x:v>0.000577785074710846</x:v>
      </x:c>
      <x:c r="M102" s="5" t="n">
        <x:f>IFERROR(L102/E102,"")</x:f>
        <x:v>0.004770471440614421</x:v>
      </x:c>
      <x:c r="N102" s="4" t="n">
        <x:f>IF(OR(F102="",G102=""),"",F102-G102)</x:f>
        <x:v>-0.0006899237632751465</x:v>
      </x:c>
      <x:c r="O102" s="5" t="n">
        <x:f>IFERROR(N102/F102,"")</x:f>
        <x:v>-0.005756595596610521</x:v>
      </x:c>
      <x:c r="P102" t="str">
        <x:v>3 seeds: 0 1 2</x:v>
      </x:c>
      <x:c r="Q102" t="str">
        <x:v>3 seeds: 0 1 2</x:v>
      </x:c>
      <x:c r="R102" t="str">
        <x:v>3 seeds: 0 1 2</x:v>
      </x:c>
      <x:c r="S102" t="str">
        <x:v>3 seeds: 0 1 2</x:v>
      </x:c>
    </x:row>
    <x:row r="103">
      <x:c r="A103" t="str">
        <x:v>PatchTST</x:v>
      </x:c>
      <x:c r="B103" t="str">
        <x:v>ETTm2</x:v>
      </x:c>
      <x:c r="C103" t="n">
        <x:v>192</x:v>
      </x:c>
      <x:c r="D103" s="4" t="n">
        <x:v>0.15743333333333331</x:v>
      </x:c>
      <x:c r="E103" s="4" t="n">
        <x:v>0.16730952759583792</x:v>
      </x:c>
      <x:c r="F103" s="4" t="n">
        <x:v>0.15923341612021127</x:v>
      </x:c>
      <x:c r="G103" s="4" t="n">
        <x:v>0.16304603715737662</x:v>
      </x:c>
      <x:c r="H103" s="4" t="n">
        <x:f>IF(OR(D103="",E103=""),"",D103-E103)</x:f>
        <x:v>-0.009876194262504606</x:v>
      </x:c>
      <x:c r="I103" s="5" t="n">
        <x:f>IFERROR(H103/D103,"")</x:f>
        <x:v>-0.06273254877728948</x:v>
      </x:c>
      <x:c r="J103" s="4" t="n">
        <x:f>IF(OR(D103="",F103=""),"",D103-F103)</x:f>
        <x:v>-0.00180008278687796</x:v>
      </x:c>
      <x:c r="K103" s="5" t="n">
        <x:f>IFERROR(J103/D103,"")</x:f>
        <x:v>-0.011433936821160028</x:v>
      </x:c>
      <x:c r="L103" s="4" t="n">
        <x:f>IF(OR(E103="",G103=""),"",E103-G103)</x:f>
        <x:v>0.004263490438461304</x:v>
      </x:c>
      <x:c r="M103" s="5" t="n">
        <x:f>IFERROR(L103/E103,"")</x:f>
        <x:v>0.025482651823394212</x:v>
      </x:c>
      <x:c r="N103" s="4" t="n">
        <x:f>IF(OR(F103="",G103=""),"",F103-G103)</x:f>
        <x:v>-0.0038126210371653424</x:v>
      </x:c>
      <x:c r="O103" s="5" t="n">
        <x:f>IFERROR(N103/F103,"")</x:f>
        <x:v>-0.023943598837866117</x:v>
      </x:c>
      <x:c r="P103" t="str">
        <x:v>3 seeds: 0 1 2</x:v>
      </x:c>
      <x:c r="Q103" t="str">
        <x:v>3 seeds: 0 1 2</x:v>
      </x:c>
      <x:c r="R103" t="str">
        <x:v>3 seeds: 0 1 2</x:v>
      </x:c>
      <x:c r="S103" t="str">
        <x:v>3 seeds: 0 1 2</x:v>
      </x:c>
    </x:row>
    <x:row r="104">
      <x:c r="A104" t="str">
        <x:v>PatchTST</x:v>
      </x:c>
      <x:c r="B104" t="str">
        <x:v>ETTm2</x:v>
      </x:c>
      <x:c r="C104" t="n">
        <x:v>336</x:v>
      </x:c>
      <x:c r="D104" s="4" t="n">
        <x:v>0.19493333333333332</x:v>
      </x:c>
      <x:c r="E104" s="4" t="n">
        <x:v>0.19834870100021362</x:v>
      </x:c>
      <x:c r="F104" s="4" t="n">
        <x:v>0.2025447835524877</x:v>
      </x:c>
      <x:c r="G104" s="4" t="n">
        <x:v>0.1698567420244217</x:v>
      </x:c>
      <x:c r="H104" s="4" t="n">
        <x:f>IF(OR(D104="",E104=""),"",D104-E104)</x:f>
        <x:v>-0.0034153676668803035</x:v>
      </x:c>
      <x:c r="I104" s="5" t="n">
        <x:f>IFERROR(H104/D104,"")</x:f>
        <x:v>-0.017520695965528233</x:v>
      </x:c>
      <x:c r="J104" s="4" t="n">
        <x:f>IF(OR(D104="",F104=""),"",D104-F104)</x:f>
        <x:v>-0.007611450219154381</x:v>
      </x:c>
      <x:c r="K104" s="5" t="n">
        <x:f>IFERROR(J104/D104,"")</x:f>
        <x:v>-0.039046427252843956</x:v>
      </x:c>
      <x:c r="L104" s="4" t="n">
        <x:f>IF(OR(E104="",G104=""),"",E104-G104)</x:f>
        <x:v>0.02849195897579193</x:v>
      </x:c>
      <x:c r="M104" s="5" t="n">
        <x:f>IFERROR(L104/E104,"")</x:f>
        <x:v>0.14364580575579997</x:v>
      </x:c>
      <x:c r="N104" s="4" t="n">
        <x:f>IF(OR(F104="",G104=""),"",F104-G104)</x:f>
        <x:v>0.03268804152806601</x:v>
      </x:c>
      <x:c r="O104" s="5" t="n">
        <x:f>IFERROR(N104/F104,"")</x:f>
        <x:v>0.16138673608246834</x:v>
      </x:c>
      <x:c r="P104" t="str">
        <x:v>3 seeds: 0 1 2</x:v>
      </x:c>
      <x:c r="Q104" t="str">
        <x:v>3 seeds: 0 1 2</x:v>
      </x:c>
      <x:c r="R104" t="str">
        <x:v>3 seeds: 0 1 2</x:v>
      </x:c>
      <x:c r="S104" t="str">
        <x:v>3 seeds: 0 1 2</x:v>
      </x:c>
    </x:row>
    <x:row r="105">
      <x:c r="A105" t="str">
        <x:v>PatchTST</x:v>
      </x:c>
      <x:c r="B105" t="str">
        <x:v>ETTm2</x:v>
      </x:c>
      <x:c r="C105" t="n">
        <x:v>720</x:v>
      </x:c>
      <x:c r="D105" s="4" t="n">
        <x:v>0.24963333333333332</x:v>
      </x:c>
      <x:c r="E105" s="4" t="n">
        <x:v>0.22203551729520163</x:v>
      </x:c>
      <x:c r="F105" s="4" t="n">
        <x:v>0.24375500281651816</x:v>
      </x:c>
      <x:c r="G105" s="4" t="n">
        <x:v>0.1822761446237564</x:v>
      </x:c>
      <x:c r="H105" s="4" t="n">
        <x:f>IF(OR(D105="",E105=""),"",D105-E105)</x:f>
        <x:v>0.02759781603813169</x:v>
      </x:c>
      <x:c r="I105" s="5" t="n">
        <x:f>IFERROR(H105/D105,"")</x:f>
        <x:v>0.11055340915261727</x:v>
      </x:c>
      <x:c r="J105" s="4" t="n">
        <x:f>IF(OR(D105="",F105=""),"",D105-F105)</x:f>
        <x:v>0.005878330516815161</x:v>
      </x:c>
      <x:c r="K105" s="5" t="n">
        <x:f>IFERROR(J105/D105,"")</x:f>
        <x:v>0.023547858927020274</x:v>
      </x:c>
      <x:c r="L105" s="4" t="n">
        <x:f>IF(OR(E105="",G105=""),"",E105-G105)</x:f>
        <x:v>0.03975937267144522</x:v>
      </x:c>
      <x:c r="M105" s="5" t="n">
        <x:f>IFERROR(L105/E105,"")</x:f>
        <x:v>0.17906762465657314</x:v>
      </x:c>
      <x:c r="N105" s="4" t="n">
        <x:f>IF(OR(F105="",G105=""),"",F105-G105)</x:f>
        <x:v>0.06147885819276175</x:v>
      </x:c>
      <x:c r="O105" s="5" t="n">
        <x:f>IFERROR(N105/F105,"")</x:f>
        <x:v>0.2522157801168855</x:v>
      </x:c>
      <x:c r="P105" t="str">
        <x:v>3 seeds: 0 1 2</x:v>
      </x:c>
      <x:c r="Q105" t="str">
        <x:v>3 seeds: 0 1 2</x:v>
      </x:c>
      <x:c r="R105" t="str">
        <x:v>3 seeds: 0 1 2</x:v>
      </x:c>
      <x:c r="S105" t="str">
        <x:v>3 seeds: 0 1 2</x:v>
      </x:c>
    </x:row>
    <x:row r="106">
      <x:c r="A106" t="str">
        <x:v>PatchTST</x:v>
      </x:c>
      <x:c r="B106" t="str">
        <x:v>Exchange Rate</x:v>
      </x:c>
      <x:c r="C106" t="n">
        <x:v>96</x:v>
      </x:c>
      <x:c r="D106" s="4" t="n">
        <x:v>0.09373333333333334</x:v>
      </x:c>
      <x:c r="E106" s="4" t="n">
        <x:v>0.08002660671869914</x:v>
      </x:c>
      <x:c r="F106" s="4" t="n">
        <x:v>0.0814393162727356</x:v>
      </x:c>
      <x:c r="G106" s="4" t="n">
        <x:v>0.08166203151146571</x:v>
      </x:c>
      <x:c r="H106" s="4" t="n">
        <x:f>IF(OR(D106="",E106=""),"",D106-E106)</x:f>
        <x:v>0.013706726614634193</x:v>
      </x:c>
      <x:c r="I106" s="5" t="n">
        <x:f>IFERROR(H106/D106,"")</x:f>
        <x:v>0.14623108052596934</x:v>
      </x:c>
      <x:c r="J106" s="4" t="n">
        <x:f>IF(OR(D106="",F106=""),"",D106-F106)</x:f>
        <x:v>0.01229401706059774</x:v>
      </x:c>
      <x:c r="K106" s="5" t="n">
        <x:f>IFERROR(J106/D106,"")</x:f>
        <x:v>0.1311594992240157</x:v>
      </x:c>
      <x:c r="L106" s="4" t="n">
        <x:f>IF(OR(E106="",G106=""),"",E106-G106)</x:f>
        <x:v>-0.001635424792766571</x:v>
      </x:c>
      <x:c r="M106" s="5" t="n">
        <x:f>IFERROR(L106/E106,"")</x:f>
        <x:v>-0.020436013218894048</x:v>
      </x:c>
      <x:c r="N106" s="4" t="n">
        <x:f>IF(OR(F106="",G106=""),"",F106-G106)</x:f>
        <x:v>-0.00022271523873011734</x:v>
      </x:c>
      <x:c r="O106" s="5" t="n">
        <x:f>IFERROR(N106/F106,"")</x:f>
        <x:v>-0.0027347385626895096</x:v>
      </x:c>
      <x:c r="P106" t="str">
        <x:v>3 seeds: 0 1 2</x:v>
      </x:c>
      <x:c r="Q106" t="str">
        <x:v>3 seeds: 0 1 2</x:v>
      </x:c>
      <x:c r="R106" t="str">
        <x:v>3 seeds: 0 1 2</x:v>
      </x:c>
      <x:c r="S106" t="str">
        <x:v>3 seeds: 0 1 2</x:v>
      </x:c>
    </x:row>
    <x:row r="107">
      <x:c r="A107" t="str">
        <x:v>PatchTST</x:v>
      </x:c>
      <x:c r="B107" t="str">
        <x:v>Exchange Rate</x:v>
      </x:c>
      <x:c r="C107" t="n">
        <x:v>192</x:v>
      </x:c>
      <x:c r="D107" s="4" t="n">
        <x:v>0.18626666666666666</x:v>
      </x:c>
      <x:c r="E107" s="4" t="n">
        <x:v>0.1569869170586268</x:v>
      </x:c>
      <x:c r="F107" s="4" t="n">
        <x:v>0.1621133287747701</x:v>
      </x:c>
      <x:c r="G107" s="4" t="n">
        <x:v>0.15143700937430063</x:v>
      </x:c>
      <x:c r="H107" s="4" t="n">
        <x:f>IF(OR(D107="",E107=""),"",D107-E107)</x:f>
        <x:v>0.029279749608039862</x:v>
      </x:c>
      <x:c r="I107" s="5" t="n">
        <x:f>IFERROR(H107/D107,"")</x:f>
        <x:v>0.15719264284917608</x:v>
      </x:c>
      <x:c r="J107" s="4" t="n">
        <x:f>IF(OR(D107="",F107=""),"",D107-F107)</x:f>
        <x:v>0.024153337891896554</x:v>
      </x:c>
      <x:c r="K107" s="5" t="n">
        <x:f>IFERROR(J107/D107,"")</x:f>
        <x:v>0.1296707474511268</x:v>
      </x:c>
      <x:c r="L107" s="4" t="n">
        <x:f>IF(OR(E107="",G107=""),"",E107-G107)</x:f>
        <x:v>0.005549907684326172</x:v>
      </x:c>
      <x:c r="M107" s="5" t="n">
        <x:f>IFERROR(L107/E107,"")</x:f>
        <x:v>0.03535267644152511</x:v>
      </x:c>
      <x:c r="N107" s="4" t="n">
        <x:f>IF(OR(F107="",G107=""),"",F107-G107)</x:f>
        <x:v>0.01067631940046948</x:v>
      </x:c>
      <x:c r="O107" s="5" t="n">
        <x:f>IFERROR(N107/F107,"")</x:f>
        <x:v>0.06585713513601633</x:v>
      </x:c>
      <x:c r="P107" t="str">
        <x:v>3 seeds: 0 1 2</x:v>
      </x:c>
      <x:c r="Q107" t="str">
        <x:v>3 seeds: 0 1 2</x:v>
      </x:c>
      <x:c r="R107" t="str">
        <x:v>3 seeds: 0 1 2</x:v>
      </x:c>
      <x:c r="S107" t="str">
        <x:v>3 seeds: 0 1 2</x:v>
      </x:c>
    </x:row>
    <x:row r="108">
      <x:c r="A108" t="str">
        <x:v>PatchTST</x:v>
      </x:c>
      <x:c r="B108" t="str">
        <x:v>Exchange Rate</x:v>
      </x:c>
      <x:c r="C108" t="n">
        <x:v>336</x:v>
      </x:c>
      <x:c r="D108" s="4" t="n">
        <x:v>0.35833333333333334</x:v>
      </x:c>
      <x:c r="E108" s="4" t="n">
        <x:v>0.2557789087295532</x:v>
      </x:c>
      <x:c r="F108" s="4" t="n">
        <x:v>0.2963170011838277</x:v>
      </x:c>
      <x:c r="G108" s="4" t="n">
        <x:v>0.2376514325539271</x:v>
      </x:c>
      <x:c r="H108" s="4" t="n">
        <x:f>IF(OR(D108="",E108=""),"",D108-E108)</x:f>
        <x:v>0.10255442460378011</x:v>
      </x:c>
      <x:c r="I108" s="5" t="n">
        <x:f>IFERROR(H108/D108,"")</x:f>
        <x:v>0.2861983942431073</x:v>
      </x:c>
      <x:c r="J108" s="4" t="n">
        <x:f>IF(OR(D108="",F108=""),"",D108-F108)</x:f>
        <x:v>0.06201633214950564</x:v>
      </x:c>
      <x:c r="K108" s="5" t="n">
        <x:f>IFERROR(J108/D108,"")</x:f>
        <x:v>0.17306883390559713</x:v>
      </x:c>
      <x:c r="L108" s="4" t="n">
        <x:f>IF(OR(E108="",G108=""),"",E108-G108)</x:f>
        <x:v>0.018127476175626128</x:v>
      </x:c>
      <x:c r="M108" s="5" t="n">
        <x:f>IFERROR(L108/E108,"")</x:f>
        <x:v>0.07087166125488924</x:v>
      </x:c>
      <x:c r="N108" s="4" t="n">
        <x:f>IF(OR(F108="",G108=""),"",F108-G108)</x:f>
        <x:v>0.058665568629900605</x:v>
      </x:c>
      <x:c r="O108" s="5" t="n">
        <x:f>IFERROR(N108/F108,"")</x:f>
        <x:v>0.19798245931054745</x:v>
      </x:c>
      <x:c r="P108" t="str">
        <x:v>3 seeds: 0 1 2</x:v>
      </x:c>
      <x:c r="Q108" t="str">
        <x:v>3 seeds: 0 1 2</x:v>
      </x:c>
      <x:c r="R108" t="str">
        <x:v>3 seeds: 0 1 2</x:v>
      </x:c>
      <x:c r="S108" t="str">
        <x:v>3 seeds: 0 1 2</x:v>
      </x:c>
    </x:row>
    <x:row r="109">
      <x:c r="A109" t="str">
        <x:v>PatchTST</x:v>
      </x:c>
      <x:c r="B109" t="str">
        <x:v>Exchange Rate</x:v>
      </x:c>
      <x:c r="C109" t="n">
        <x:v>720</x:v>
      </x:c>
      <x:c r="D109" s="4" t="n">
        <x:v>0.8914</x:v>
      </x:c>
      <x:c r="E109" s="4" t="n">
        <x:v>0.34203078349431354</x:v>
      </x:c>
      <x:c r="F109" s="4" t="n">
        <x:v>0.5186618566513062</x:v>
      </x:c>
      <x:c r="G109" s="4" t="n">
        <x:v>0.3424577514330546</x:v>
      </x:c>
      <x:c r="H109" s="4" t="n">
        <x:f>IF(OR(D109="",E109=""),"",D109-E109)</x:f>
        <x:v>0.5493692165056865</x:v>
      </x:c>
      <x:c r="I109" s="5" t="n">
        <x:f>IFERROR(H109/D109,"")</x:f>
        <x:v>0.6162993229814746</x:v>
      </x:c>
      <x:c r="J109" s="4" t="n">
        <x:f>IF(OR(D109="",F109=""),"",D109-F109)</x:f>
        <x:v>0.3727381433486938</x:v>
      </x:c>
      <x:c r="K109" s="5" t="n">
        <x:f>IFERROR(J109/D109,"")</x:f>
        <x:v>0.4181491399469305</x:v>
      </x:c>
      <x:c r="L109" s="4" t="n">
        <x:f>IF(OR(E109="",G109=""),"",E109-G109)</x:f>
        <x:v>-0.0004269679387410852</x:v>
      </x:c>
      <x:c r="M109" s="5" t="n">
        <x:f>IFERROR(L109/E109,"")</x:f>
        <x:v>-0.0012483319026989972</x:v>
      </x:c>
      <x:c r="N109" s="4" t="n">
        <x:f>IF(OR(F109="",G109=""),"",F109-G109)</x:f>
        <x:v>0.17620410521825153</x:v>
      </x:c>
      <x:c r="O109" s="5" t="n">
        <x:f>IFERROR(N109/F109,"")</x:f>
        <x:v>0.3397282891707086</x:v>
      </x:c>
      <x:c r="P109" t="str">
        <x:v>3 seeds: 0 1 2</x:v>
      </x:c>
      <x:c r="Q109" t="str">
        <x:v>3 seeds: 0 1 2</x:v>
      </x:c>
      <x:c r="R109" t="str">
        <x:v>3 seeds: 0 1 2</x:v>
      </x:c>
      <x:c r="S109" t="str">
        <x:v>3 seeds: 0 1 2</x:v>
      </x:c>
    </x:row>
    <x:row r="110">
      <x:c r="A110" t="str">
        <x:v>PatchTST</x:v>
      </x:c>
      <x:c r="B110" t="str">
        <x:v>weather</x:v>
      </x:c>
      <x:c r="C110" t="n">
        <x:v>96</x:v>
      </x:c>
      <x:c r="D110" s="4" t="n">
        <x:v>0.17926666666666666</x:v>
      </x:c>
      <x:c r="E110" s="4" t="n">
        <x:v>0.16996556520462036</x:v>
      </x:c>
      <x:c r="F110" s="4" t="n">
        <x:v>0.17009616394837698</x:v>
      </x:c>
      <x:c r="G110" s="4" t="n">
        <x:v>0.17009247342745462</x:v>
      </x:c>
      <x:c r="H110" s="4" t="n">
        <x:f>IF(OR(D110="",E110=""),"",D110-E110)</x:f>
        <x:v>0.009301101462046296</x:v>
      </x:c>
      <x:c r="I110" s="5" t="n">
        <x:f>IFERROR(H110/D110,"")</x:f>
        <x:v>0.05188416583514111</x:v>
      </x:c>
      <x:c r="J110" s="4" t="n">
        <x:f>IF(OR(D110="",F110=""),"",D110-F110)</x:f>
        <x:v>0.009170502718289675</x:v>
      </x:c>
      <x:c r="K110" s="5" t="n">
        <x:f>IFERROR(J110/D110,"")</x:f>
        <x:v>0.05115564922809414</x:v>
      </x:c>
      <x:c r="L110" s="4" t="n">
        <x:f>IF(OR(E110="",G110=""),"",E110-G110)</x:f>
        <x:v>-0.00012690822283425995</x:v>
      </x:c>
      <x:c r="M110" s="5" t="n">
        <x:f>IFERROR(L110/E110,"")</x:f>
        <x:v>-0.000746670201587457</x:v>
      </x:c>
      <x:c r="N110" s="4" t="n">
        <x:f>IF(OR(F110="",G110=""),"",F110-G110)</x:f>
        <x:v>0.00000369052092236144</x:v>
      </x:c>
      <x:c r="O110" s="5" t="n">
        <x:f>IFERROR(N110/F110,"")</x:f>
        <x:v>0.00002169667343868782</x:v>
      </x:c>
      <x:c r="P110" t="str">
        <x:v>3 seeds: 0 1 2</x:v>
      </x:c>
      <x:c r="Q110" t="str">
        <x:v>3 seeds: 0 1 2</x:v>
      </x:c>
      <x:c r="R110" t="str">
        <x:v>3 seeds: 0 1 2</x:v>
      </x:c>
      <x:c r="S110" t="str">
        <x:v>3 seeds: 0 1 2</x:v>
      </x:c>
    </x:row>
    <x:row r="111">
      <x:c r="A111" t="str">
        <x:v>PatchTST</x:v>
      </x:c>
      <x:c r="B111" t="str">
        <x:v>weather</x:v>
      </x:c>
      <x:c r="C111" t="n">
        <x:v>192</x:v>
      </x:c>
      <x:c r="D111" s="4" t="n">
        <x:v>0.2265</x:v>
      </x:c>
      <x:c r="E111" s="4" t="n">
        <x:v>0.22353105743726095</x:v>
      </x:c>
      <x:c r="F111" s="4" t="n">
        <x:v>0.2233190288146337</x:v>
      </x:c>
      <x:c r="G111" s="4" t="n">
        <x:v>0.21427654723326364</x:v>
      </x:c>
      <x:c r="H111" s="4" t="n">
        <x:f>IF(OR(D111="",E111=""),"",D111-E111)</x:f>
        <x:v>0.002968942562739052</x:v>
      </x:c>
      <x:c r="I111" s="5" t="n">
        <x:f>IFERROR(H111/D111,"")</x:f>
        <x:v>0.013107914184278376</x:v>
      </x:c>
      <x:c r="J111" s="4" t="n">
        <x:f>IF(OR(D111="",F111=""),"",D111-F111)</x:f>
        <x:v>0.0031809711853663103</x:v>
      </x:c>
      <x:c r="K111" s="5" t="n">
        <x:f>IFERROR(J111/D111,"")</x:f>
        <x:v>0.014044022893449493</x:v>
      </x:c>
      <x:c r="L111" s="4" t="n">
        <x:f>IF(OR(E111="",G111=""),"",E111-G111)</x:f>
        <x:v>0.009254510203997313</x:v>
      </x:c>
      <x:c r="M111" s="5" t="n">
        <x:f>IFERROR(L111/E111,"")</x:f>
        <x:v>0.04140145136921208</x:v>
      </x:c>
      <x:c r="N111" s="4" t="n">
        <x:f>IF(OR(F111="",G111=""),"",F111-G111)</x:f>
        <x:v>0.009042481581370054</x:v>
      </x:c>
      <x:c r="O111" s="5" t="n">
        <x:f>IFERROR(N111/F111,"")</x:f>
        <x:v>0.040491316970914196</x:v>
      </x:c>
      <x:c r="P111" t="str">
        <x:v>3 seeds: 0 1 2</x:v>
      </x:c>
      <x:c r="Q111" t="str">
        <x:v>3 seeds: 0 1 2</x:v>
      </x:c>
      <x:c r="R111" t="str">
        <x:v>3 seeds: 0 1 2</x:v>
      </x:c>
      <x:c r="S111" t="str">
        <x:v>3 seeds: 0 1 2</x:v>
      </x:c>
    </x:row>
    <x:row r="112">
      <x:c r="A112" t="str">
        <x:v>PatchTST</x:v>
      </x:c>
      <x:c r="B112" t="str">
        <x:v>weather</x:v>
      </x:c>
      <x:c r="C112" t="n">
        <x:v>336</x:v>
      </x:c>
      <x:c r="D112" s="4" t="n">
        <x:v>0.28106666666666663</x:v>
      </x:c>
      <x:c r="E112" s="4" t="n">
        <x:v>0.29285919666290283</x:v>
      </x:c>
      <x:c r="F112" s="4" t="n">
        <x:v>0.3303806285063426</x:v>
      </x:c>
      <x:c r="G112" s="4" t="n">
        <x:v>0.23618756234645844</x:v>
      </x:c>
      <x:c r="H112" s="4" t="n">
        <x:f>IF(OR(D112="",E112=""),"",D112-E112)</x:f>
        <x:v>-0.0117925299962362</x:v>
      </x:c>
      <x:c r="I112" s="5" t="n">
        <x:f>IFERROR(H112/D112,"")</x:f>
        <x:v>-0.04195634486326922</x:v>
      </x:c>
      <x:c r="J112" s="4" t="n">
        <x:f>IF(OR(D112="",F112=""),"",D112-F112)</x:f>
        <x:v>-0.04931396183967596</x:v>
      </x:c>
      <x:c r="K112" s="5" t="n">
        <x:f>IFERROR(J112/D112,"")</x:f>
        <x:v>-0.1754529002834771</x:v>
      </x:c>
      <x:c r="L112" s="4" t="n">
        <x:f>IF(OR(E112="",G112=""),"",E112-G112)</x:f>
        <x:v>0.0566716343164444</x:v>
      </x:c>
      <x:c r="M112" s="5" t="n">
        <x:f>IFERROR(L112/E112,"")</x:f>
        <x:v>0.19351154057038744</x:v>
      </x:c>
      <x:c r="N112" s="4" t="n">
        <x:f>IF(OR(F112="",G112=""),"",F112-G112)</x:f>
        <x:v>0.09419306615988415</x:v>
      </x:c>
      <x:c r="O112" s="5" t="n">
        <x:f>IFERROR(N112/F112,"")</x:f>
        <x:v>0.28510468844899556</x:v>
      </x:c>
      <x:c r="P112" t="str">
        <x:v>3 seeds: 0 1 2</x:v>
      </x:c>
      <x:c r="Q112" t="str">
        <x:v>3 seeds: 0 1 2</x:v>
      </x:c>
      <x:c r="R112" t="str">
        <x:v>3 seeds: 0 1 2</x:v>
      </x:c>
      <x:c r="S112" t="str">
        <x:v>3 seeds: 0 1 2</x:v>
      </x:c>
    </x:row>
    <x:row r="113">
      <x:c r="A113" t="str">
        <x:v>PatchTST</x:v>
      </x:c>
      <x:c r="B113" t="str">
        <x:v>weather</x:v>
      </x:c>
      <x:c r="C113" t="n">
        <x:v>720</x:v>
      </x:c>
      <x:c r="D113" s="4" t="n">
        <x:v>0.35896666666666666</x:v>
      </x:c>
      <x:c r="E113" s="4" t="n">
        <x:v>0.3360040485858917</x:v>
      </x:c>
      <x:c r="F113" s="4" t="n">
        <x:v>0.3558332820733388</x:v>
      </x:c>
      <x:c r="G113" s="4" t="n">
        <x:v>0.22727694610754648</x:v>
      </x:c>
      <x:c r="H113" s="4" t="n">
        <x:f>IF(OR(D113="",E113=""),"",D113-E113)</x:f>
        <x:v>0.022962618080774932</x:v>
      </x:c>
      <x:c r="I113" s="5" t="n">
        <x:f>IFERROR(H113/D113,"")</x:f>
        <x:v>0.06396866398210121</x:v>
      </x:c>
      <x:c r="J113" s="4" t="n">
        <x:f>IF(OR(D113="",F113=""),"",D113-F113)</x:f>
        <x:v>0.003133384593327848</x:v>
      </x:c>
      <x:c r="K113" s="5" t="n">
        <x:f>IFERROR(J113/D113,"")</x:f>
        <x:v>0.008728901272154838</x:v>
      </x:c>
      <x:c r="L113" s="4" t="n">
        <x:f>IF(OR(E113="",G113=""),"",E113-G113)</x:f>
        <x:v>0.10872710247834524</x:v>
      </x:c>
      <x:c r="M113" s="5" t="n">
        <x:f>IFERROR(L113/E113,"")</x:f>
        <x:v>0.3235886678625887</x:v>
      </x:c>
      <x:c r="N113" s="4" t="n">
        <x:f>IF(OR(F113="",G113=""),"",F113-G113)</x:f>
        <x:v>0.12855633596579233</x:v>
      </x:c>
      <x:c r="O113" s="5" t="n">
        <x:f>IFERROR(N113/F113,"")</x:f>
        <x:v>0.36128249504018095</x:v>
      </x:c>
      <x:c r="P113" t="str">
        <x:v>3 seeds: 0 1 2</x:v>
      </x:c>
      <x:c r="Q113" t="str">
        <x:v>3 seeds: 0 1 2</x:v>
      </x:c>
      <x:c r="R113" t="str">
        <x:v>3 seeds: 0 1 2</x:v>
      </x:c>
      <x:c r="S113" t="str">
        <x:v>3 seeds: 0 1 2</x:v>
      </x:c>
    </x:row>
    <x:row r="114">
      <x:c r="A114" t="str">
        <x:v>OLS</x:v>
      </x:c>
      <x:c r="B114" t="str">
        <x:v>ETTh1</x:v>
      </x:c>
      <x:c r="C114" t="n">
        <x:v>96</x:v>
      </x:c>
      <x:c r="D114" s="4" t="n">
        <x:v>0.4421</x:v>
      </x:c>
      <x:c r="E114" s="4" t="n">
        <x:v>0.4344470798969269</x:v>
      </x:c>
      <x:c r="F114" s="4" t="n">
        <x:v>0.4453522264957428</x:v>
      </x:c>
      <x:c r="G114" s="4" t="n">
        <x:v>0.4217393894990285</x:v>
      </x:c>
      <x:c r="H114" s="4" t="n">
        <x:f>IF(OR(D114="",E114=""),"",D114-E114)</x:f>
        <x:v>0.007652920103073113</x:v>
      </x:c>
      <x:c r="I114" s="5" t="n">
        <x:f>IFERROR(H114/D114,"")</x:f>
        <x:v>0.017310382499599895</x:v>
      </x:c>
      <x:c r="J114" s="4" t="n">
        <x:f>IF(OR(D114="",F114=""),"",D114-F114)</x:f>
        <x:v>-0.003252226495742805</x:v>
      </x:c>
      <x:c r="K114" s="5" t="n">
        <x:f>IFERROR(J114/D114,"")</x:f>
        <x:v>-0.00735631417268221</x:v>
      </x:c>
      <x:c r="L114" s="4" t="n">
        <x:f>IF(OR(E114="",G114=""),"",E114-G114)</x:f>
        <x:v>0.012707690397898375</x:v>
      </x:c>
      <x:c r="M114" s="5" t="n">
        <x:f>IFERROR(L114/E114,"")</x:f>
        <x:v>0.029250260816376737</x:v>
      </x:c>
      <x:c r="N114" s="4" t="n">
        <x:f>IF(OR(F114="",G114=""),"",F114-G114)</x:f>
        <x:v>0.023612836996714293</x:v>
      </x:c>
      <x:c r="O114" s="5" t="n">
        <x:f>IFERROR(N114/F114,"")</x:f>
        <x:v>0.053020588181431294</x:v>
      </x:c>
      <x:c r="P114" t="str">
        <x:v>3 seeds: 0 1 2</x:v>
      </x:c>
      <x:c r="Q114" t="str">
        <x:v>3 seeds: 0 1 2</x:v>
      </x:c>
      <x:c r="R114" t="str">
        <x:v>3 seeds: 0 1 2</x:v>
      </x:c>
      <x:c r="S114" t="str">
        <x:v>3 seeds: 0 1 2</x:v>
      </x:c>
    </x:row>
    <x:row r="115">
      <x:c r="A115" t="str">
        <x:v>OLS</x:v>
      </x:c>
      <x:c r="B115" t="str">
        <x:v>ETTh1</x:v>
      </x:c>
      <x:c r="C115" t="n">
        <x:v>192</x:v>
      </x:c>
      <x:c r="D115" s="4" t="n">
        <x:v>0.4966333333333333</x:v>
      </x:c>
      <x:c r="E115" s="4" t="n">
        <x:v>0.49989547332127887</x:v>
      </x:c>
      <x:c r="F115" s="4" t="n">
        <x:v>0.5176496903101603</x:v>
      </x:c>
      <x:c r="G115" s="4" t="n">
        <x:v>0.49457697073618573</x:v>
      </x:c>
      <x:c r="H115" s="4" t="n">
        <x:f>IF(OR(D115="",E115=""),"",D115-E115)</x:f>
        <x:v>-0.003262139987945556</x:v>
      </x:c>
      <x:c r="I115" s="5" t="n">
        <x:f>IFERROR(H115/D115,"")</x:f>
        <x:v>-0.006568507929281609</x:v>
      </x:c>
      <x:c r="J115" s="4" t="n">
        <x:f>IF(OR(D115="",F115=""),"",D115-F115)</x:f>
        <x:v>-0.021016356976826966</x:v>
      </x:c>
      <x:c r="K115" s="5" t="n">
        <x:f>IFERROR(J115/D115,"")</x:f>
        <x:v>-0.04231765281594799</x:v>
      </x:c>
      <x:c r="L115" s="4" t="n">
        <x:f>IF(OR(E115="",G115=""),"",E115-G115)</x:f>
        <x:v>0.005318502585093143</x:v>
      </x:c>
      <x:c r="M115" s="5" t="n">
        <x:f>IFERROR(L115/E115,"")</x:f>
        <x:v>0.010639229336799743</x:v>
      </x:c>
      <x:c r="N115" s="4" t="n">
        <x:f>IF(OR(F115="",G115=""),"",F115-G115)</x:f>
        <x:v>0.023072719573974554</x:v>
      </x:c>
      <x:c r="O115" s="5" t="n">
        <x:f>IFERROR(N115/F115,"")</x:f>
        <x:v>0.04457207259247092</x:v>
      </x:c>
      <x:c r="P115" t="str">
        <x:v>3 seeds: 0 1 2</x:v>
      </x:c>
      <x:c r="Q115" t="str">
        <x:v>3 seeds: 0 1 2</x:v>
      </x:c>
      <x:c r="R115" t="str">
        <x:v>3 seeds: 0 1 2</x:v>
      </x:c>
      <x:c r="S115" t="str">
        <x:v>3 seeds: 0 1 2</x:v>
      </x:c>
    </x:row>
    <x:row r="116">
      <x:c r="A116" t="str">
        <x:v>OLS</x:v>
      </x:c>
      <x:c r="B116" t="str">
        <x:v>ETTh1</x:v>
      </x:c>
      <x:c r="C116" t="n">
        <x:v>336</x:v>
      </x:c>
      <x:c r="D116" s="4" t="n">
        <x:v>0.5459</x:v>
      </x:c>
      <x:c r="E116" s="4" t="n">
        <x:v>0.5567370851834615</x:v>
      </x:c>
      <x:c r="F116" s="4" t="n">
        <x:v>0.5279630223910013</x:v>
      </x:c>
      <x:c r="G116" s="4" t="n">
        <x:v>0.5425710280736288</x:v>
      </x:c>
      <x:c r="H116" s="4" t="n">
        <x:f>IF(OR(D116="",E116=""),"",D116-E116)</x:f>
        <x:v>-0.010837085183461492</x:v>
      </x:c>
      <x:c r="I116" s="5" t="n">
        <x:f>IFERROR(H116/D116,"")</x:f>
        <x:v>-0.019851777218284468</x:v>
      </x:c>
      <x:c r="J116" s="4" t="n">
        <x:f>IF(OR(D116="",F116=""),"",D116-F116)</x:f>
        <x:v>0.017936977608998705</x:v>
      </x:c>
      <x:c r="K116" s="5" t="n">
        <x:f>IFERROR(J116/D116,"")</x:f>
        <x:v>0.03285762522256586</x:v>
      </x:c>
      <x:c r="L116" s="4" t="n">
        <x:f>IF(OR(E116="",G116=""),"",E116-G116)</x:f>
        <x:v>0.014166057109832764</x:v>
      </x:c>
      <x:c r="M116" s="5" t="n">
        <x:f>IFERROR(L116/E116,"")</x:f>
        <x:v>0.02544478801006156</x:v>
      </x:c>
      <x:c r="N116" s="4" t="n">
        <x:f>IF(OR(F116="",G116=""),"",F116-G116)</x:f>
        <x:v>-0.014608005682627434</x:v>
      </x:c>
      <x:c r="O116" s="5" t="n">
        <x:f>IFERROR(N116/F116,"")</x:f>
        <x:v>-0.0276686151550382</x:v>
      </x:c>
      <x:c r="P116" t="str">
        <x:v>3 seeds: 0 1 2</x:v>
      </x:c>
      <x:c r="Q116" t="str">
        <x:v>3 seeds: 0 1 2</x:v>
      </x:c>
      <x:c r="R116" t="str">
        <x:v>3 seeds: 0 1 2</x:v>
      </x:c>
      <x:c r="S116" t="str">
        <x:v>3 seeds: 0 1 2</x:v>
      </x:c>
    </x:row>
    <x:row r="117">
      <x:c r="A117" t="str">
        <x:v>OLS</x:v>
      </x:c>
      <x:c r="B117" t="str">
        <x:v>ETTh1</x:v>
      </x:c>
      <x:c r="C117" t="n">
        <x:v>720</x:v>
      </x:c>
      <x:c r="D117" s="4" t="n">
        <x:v>0.6998333333333333</x:v>
      </x:c>
      <x:c r="E117" s="4" t="n">
        <x:v>0.6455339392026266</x:v>
      </x:c>
      <x:c r="F117" s="4" t="n">
        <x:v>0.586360494295756</x:v>
      </x:c>
      <x:c r="G117" s="4" t="n">
        <x:v>0.5759905974070231</x:v>
      </x:c>
      <x:c r="H117" s="4" t="n">
        <x:f>IF(OR(D117="",E117=""),"",D117-E117)</x:f>
        <x:v>0.054299394130706724</x:v>
      </x:c>
      <x:c r="I117" s="5" t="n">
        <x:f>IFERROR(H117/D117,"")</x:f>
        <x:v>0.07758903662401533</x:v>
      </x:c>
      <x:c r="J117" s="4" t="n">
        <x:f>IF(OR(D117="",F117=""),"",D117-F117)</x:f>
        <x:v>0.11347283903757732</x:v>
      </x:c>
      <x:c r="K117" s="5" t="n">
        <x:f>IFERROR(J117/D117,"")</x:f>
        <x:v>0.16214266116348272</x:v>
      </x:c>
      <x:c r="L117" s="4" t="n">
        <x:f>IF(OR(E117="",G117=""),"",E117-G117)</x:f>
        <x:v>0.06954334179560351</x:v>
      </x:c>
      <x:c r="M117" s="5" t="n">
        <x:f>IFERROR(L117/E117,"")</x:f>
        <x:v>0.10772995434059518</x:v>
      </x:c>
      <x:c r="N117" s="4" t="n">
        <x:f>IF(OR(F117="",G117=""),"",F117-G117)</x:f>
        <x:v>0.01036989688873291</x:v>
      </x:c>
      <x:c r="O117" s="5" t="n">
        <x:f>IFERROR(N117/F117,"")</x:f>
        <x:v>0.017685190236404993</x:v>
      </x:c>
      <x:c r="P117" t="str">
        <x:v>3 seeds: 0 1 2</x:v>
      </x:c>
      <x:c r="Q117" t="str">
        <x:v>3 seeds: 0 1 2</x:v>
      </x:c>
      <x:c r="R117" t="str">
        <x:v>3 seeds: 0 1 2</x:v>
      </x:c>
      <x:c r="S117" t="str">
        <x:v>3 seeds: 0 1 2</x:v>
      </x:c>
    </x:row>
    <x:row r="118">
      <x:c r="A118" t="str">
        <x:v>OLS</x:v>
      </x:c>
      <x:c r="B118" t="str">
        <x:v>ETTh2</x:v>
      </x:c>
      <x:c r="C118" t="n">
        <x:v>96</x:v>
      </x:c>
      <x:c r="D118" s="4" t="n">
        <x:v>0.17953333333333332</x:v>
      </x:c>
      <x:c r="E118" s="4" t="n">
        <x:v>0.1797500898440679</x:v>
      </x:c>
      <x:c r="F118" s="4" t="n">
        <x:v>0.17890740931034088</x:v>
      </x:c>
      <x:c r="G118" s="4" t="n">
        <x:v>0.1771706442038218</x:v>
      </x:c>
      <x:c r="H118" s="4" t="n">
        <x:f>IF(OR(D118="",E118=""),"",D118-E118)</x:f>
        <x:v>-0.00021675651073457813</x:v>
      </x:c>
      <x:c r="I118" s="5" t="n">
        <x:f>IFERROR(H118/D118,"")</x:f>
        <x:v>-0.0012073329599029603</x:v>
      </x:c>
      <x:c r="J118" s="4" t="n">
        <x:f>IF(OR(D118="",F118=""),"",D118-F118)</x:f>
        <x:v>0.0006259240229924412</x:v>
      </x:c>
      <x:c r="K118" s="5" t="n">
        <x:f>IFERROR(J118/D118,"")</x:f>
        <x:v>0.0034863944838049083</x:v>
      </x:c>
      <x:c r="L118" s="4" t="n">
        <x:f>IF(OR(E118="",G118=""),"",E118-G118)</x:f>
        <x:v>0.002579445640246092</x:v>
      </x:c>
      <x:c r="M118" s="5" t="n">
        <x:f>IFERROR(L118/E118,"")</x:f>
        <x:v>0.014350177195926551</x:v>
      </x:c>
      <x:c r="N118" s="4" t="n">
        <x:f>IF(OR(F118="",G118=""),"",F118-G118)</x:f>
        <x:v>0.0017367651065190726</x:v>
      </x:c>
      <x:c r="O118" s="5" t="n">
        <x:f>IFERROR(N118/F118,"")</x:f>
        <x:v>0.00970761978620126</x:v>
      </x:c>
      <x:c r="P118" t="str">
        <x:v>3 seeds: 0 1 2</x:v>
      </x:c>
      <x:c r="Q118" t="str">
        <x:v>3 seeds: 0 1 2</x:v>
      </x:c>
      <x:c r="R118" t="str">
        <x:v>3 seeds: 0 1 2</x:v>
      </x:c>
      <x:c r="S118" t="str">
        <x:v>3 seeds: 0 1 2</x:v>
      </x:c>
    </x:row>
    <x:row r="119">
      <x:c r="A119" t="str">
        <x:v>OLS</x:v>
      </x:c>
      <x:c r="B119" t="str">
        <x:v>ETTh2</x:v>
      </x:c>
      <x:c r="C119" t="n">
        <x:v>192</x:v>
      </x:c>
      <x:c r="D119" s="4" t="n">
        <x:v>0.22116666666666668</x:v>
      </x:c>
      <x:c r="E119" s="4" t="n">
        <x:v>0.22823808093865713</x:v>
      </x:c>
      <x:c r="F119" s="4" t="n">
        <x:v>0.23176731169223785</x:v>
      </x:c>
      <x:c r="G119" s="4" t="n">
        <x:v>0.22788567344347635</x:v>
      </x:c>
      <x:c r="H119" s="4" t="n">
        <x:f>IF(OR(D119="",E119=""),"",D119-E119)</x:f>
        <x:v>-0.007071414271990456</x:v>
      </x:c>
      <x:c r="I119" s="5" t="n">
        <x:f>IFERROR(H119/D119,"")</x:f>
        <x:v>-0.03197323710018292</x:v>
      </x:c>
      <x:c r="J119" s="4" t="n">
        <x:f>IF(OR(D119="",F119=""),"",D119-F119)</x:f>
        <x:v>-0.010600645025571176</x:v>
      </x:c>
      <x:c r="K119" s="5" t="n">
        <x:f>IFERROR(J119/D119,"")</x:f>
        <x:v>-0.047930572836041484</x:v>
      </x:c>
      <x:c r="L119" s="4" t="n">
        <x:f>IF(OR(E119="",G119=""),"",E119-G119)</x:f>
        <x:v>0.0003524074951807843</x:v>
      </x:c>
      <x:c r="M119" s="5" t="n">
        <x:f>IFERROR(L119/E119,"")</x:f>
        <x:v>0.0015440346051433013</x:v>
      </x:c>
      <x:c r="N119" s="4" t="n">
        <x:f>IF(OR(F119="",G119=""),"",F119-G119)</x:f>
        <x:v>0.003881638248761504</x:v>
      </x:c>
      <x:c r="O119" s="5" t="n">
        <x:f>IFERROR(N119/F119,"")</x:f>
        <x:v>0.01674799703383497</x:v>
      </x:c>
      <x:c r="P119" t="str">
        <x:v>3 seeds: 0 1 2</x:v>
      </x:c>
      <x:c r="Q119" t="str">
        <x:v>3 seeds: 0 1 2</x:v>
      </x:c>
      <x:c r="R119" t="str">
        <x:v>3 seeds: 0 1 2</x:v>
      </x:c>
      <x:c r="S119" t="str">
        <x:v>3 seeds: 0 1 2</x:v>
      </x:c>
    </x:row>
    <x:row r="120">
      <x:c r="A120" t="str">
        <x:v>OLS</x:v>
      </x:c>
      <x:c r="B120" t="str">
        <x:v>ETTh2</x:v>
      </x:c>
      <x:c r="C120" t="n">
        <x:v>336</x:v>
      </x:c>
      <x:c r="D120" s="4" t="n">
        <x:v>0.2524666666666667</x:v>
      </x:c>
      <x:c r="E120" s="4" t="n">
        <x:v>0.25011977056662243</x:v>
      </x:c>
      <x:c r="F120" s="4" t="n">
        <x:v>0.25303077697753906</x:v>
      </x:c>
      <x:c r="G120" s="4" t="n">
        <x:v>0.24707179268201193</x:v>
      </x:c>
      <x:c r="H120" s="4" t="n">
        <x:f>IF(OR(D120="",E120=""),"",D120-E120)</x:f>
        <x:v>0.002346896100044238</x:v>
      </x:c>
      <x:c r="I120" s="5" t="n">
        <x:f>IFERROR(H120/D120,"")</x:f>
        <x:v>0.009295865196900862</x:v>
      </x:c>
      <x:c r="J120" s="4" t="n">
        <x:f>IF(OR(D120="",F120=""),"",D120-F120)</x:f>
        <x:v>-0.0005641103108723899</x:v>
      </x:c>
      <x:c r="K120" s="5" t="n">
        <x:f>IFERROR(J120/D120,"")</x:f>
        <x:v>-0.0022343952107435564</x:v>
      </x:c>
      <x:c r="L120" s="4" t="n">
        <x:f>IF(OR(E120="",G120=""),"",E120-G120)</x:f>
        <x:v>0.0030479778846105032</x:v>
      </x:c>
      <x:c r="M120" s="5" t="n">
        <x:f>IFERROR(L120/E120,"")</x:f>
        <x:v>0.012186073406774686</x:v>
      </x:c>
      <x:c r="N120" s="4" t="n">
        <x:f>IF(OR(F120="",G120=""),"",F120-G120)</x:f>
        <x:v>0.005958984295527131</x:v>
      </x:c>
      <x:c r="O120" s="5" t="n">
        <x:f>IFERROR(N120/F120,"")</x:f>
        <x:v>0.023550432744614682</x:v>
      </x:c>
      <x:c r="P120" t="str">
        <x:v>3 seeds: 0 1 2</x:v>
      </x:c>
      <x:c r="Q120" t="str">
        <x:v>3 seeds: 0 1 2</x:v>
      </x:c>
      <x:c r="R120" t="str">
        <x:v>3 seeds: 0 1 2</x:v>
      </x:c>
      <x:c r="S120" t="str">
        <x:v>3 seeds: 0 1 2</x:v>
      </x:c>
    </x:row>
    <x:row r="121">
      <x:c r="A121" t="str">
        <x:v>OLS</x:v>
      </x:c>
      <x:c r="B121" t="str">
        <x:v>ETTh2</x:v>
      </x:c>
      <x:c r="C121" t="n">
        <x:v>720</x:v>
      </x:c>
      <x:c r="D121" s="4" t="n">
        <x:v>0.32626666666666665</x:v>
      </x:c>
      <x:c r="E121" s="4" t="n">
        <x:v>0.2768460710843404</x:v>
      </x:c>
      <x:c r="F121" s="4" t="n">
        <x:v>0.2764197885990143</x:v>
      </x:c>
      <x:c r="G121" s="4" t="n">
        <x:v>0.2765376369158427</x:v>
      </x:c>
      <x:c r="H121" s="4" t="n">
        <x:f>IF(OR(D121="",E121=""),"",D121-E121)</x:f>
        <x:v>0.049420595582326254</x:v>
      </x:c>
      <x:c r="I121" s="5" t="n">
        <x:f>IFERROR(H121/D121,"")</x:f>
        <x:v>0.15147301465772248</x:v>
      </x:c>
      <x:c r="J121" s="4" t="n">
        <x:f>IF(OR(D121="",F121=""),"",D121-F121)</x:f>
        <x:v>0.04984687806765237</x:v>
      </x:c>
      <x:c r="K121" s="5" t="n">
        <x:f>IFERROR(J121/D121,"")</x:f>
        <x:v>0.15277956089390796</x:v>
      </x:c>
      <x:c r="L121" s="4" t="n">
        <x:f>IF(OR(E121="",G121=""),"",E121-G121)</x:f>
        <x:v>0.00030843416849768435</x:v>
      </x:c>
      <x:c r="M121" s="5" t="n">
        <x:f>IFERROR(L121/E121,"")</x:f>
        <x:v>0.001114099858053325</x:v>
      </x:c>
      <x:c r="N121" s="4" t="n">
        <x:f>IF(OR(F121="",G121=""),"",F121-G121)</x:f>
        <x:v>-0.00011784831682842833</x:v>
      </x:c>
      <x:c r="O121" s="5" t="n">
        <x:f>IFERROR(N121/F121,"")</x:f>
        <x:v>-0.00042633820619617023</x:v>
      </x:c>
      <x:c r="P121" t="str">
        <x:v>3 seeds: 0 1 2</x:v>
      </x:c>
      <x:c r="Q121" t="str">
        <x:v>3 seeds: 0 1 2</x:v>
      </x:c>
      <x:c r="R121" t="str">
        <x:v>3 seeds: 0 1 2</x:v>
      </x:c>
      <x:c r="S121" t="str">
        <x:v>3 seeds: 0 1 2</x:v>
      </x:c>
    </x:row>
    <x:row r="122">
      <x:c r="A122" t="str">
        <x:v>OLS</x:v>
      </x:c>
      <x:c r="B122" t="str">
        <x:v>ETTm1</x:v>
      </x:c>
      <x:c r="C122" t="n">
        <x:v>96</x:v>
      </x:c>
      <x:c r="D122" s="4" t="n">
        <x:v>0.3623</x:v>
      </x:c>
      <x:c r="E122" s="4" t="n">
        <x:v>0.3495773871739705</x:v>
      </x:c>
      <x:c r="F122" s="4" t="n">
        <x:v>0.3441750705242157</x:v>
      </x:c>
      <x:c r="G122" s="4" t="n">
        <x:v>0.33347979187965393</x:v>
      </x:c>
      <x:c r="H122" s="4" t="n">
        <x:f>IF(OR(D122="",E122=""),"",D122-E122)</x:f>
        <x:v>0.012722612826029489</x:v>
      </x:c>
      <x:c r="I122" s="5" t="n">
        <x:f>IFERROR(H122/D122,"")</x:f>
        <x:v>0.035116237444188486</x:v>
      </x:c>
      <x:c r="J122" s="4" t="n">
        <x:f>IF(OR(D122="",F122=""),"",D122-F122)</x:f>
        <x:v>0.018124929475784313</x:v>
      </x:c>
      <x:c r="K122" s="5" t="n">
        <x:f>IFERROR(J122/D122,"")</x:f>
        <x:v>0.05002740677831717</x:v>
      </x:c>
      <x:c r="L122" s="4" t="n">
        <x:f>IF(OR(E122="",G122=""),"",E122-G122)</x:f>
        <x:v>0.01609759529431659</x:v>
      </x:c>
      <x:c r="M122" s="5" t="n">
        <x:f>IFERROR(L122/E122,"")</x:f>
        <x:v>0.04604873165410287</x:v>
      </x:c>
      <x:c r="N122" s="4" t="n">
        <x:f>IF(OR(F122="",G122=""),"",F122-G122)</x:f>
        <x:v>0.010695278644561768</x:v>
      </x:c>
      <x:c r="O122" s="5" t="n">
        <x:f>IFERROR(N122/F122,"")</x:f>
        <x:v>0.031075111361992914</x:v>
      </x:c>
      <x:c r="P122" t="str">
        <x:v>3 seeds: 0 1 2</x:v>
      </x:c>
      <x:c r="Q122" t="str">
        <x:v>3 seeds: 0 1 2</x:v>
      </x:c>
      <x:c r="R122" t="str">
        <x:v>3 seeds: 0 1 2</x:v>
      </x:c>
      <x:c r="S122" t="str">
        <x:v>3 seeds: 0 1 2</x:v>
      </x:c>
    </x:row>
    <x:row r="123">
      <x:c r="A123" t="str">
        <x:v>OLS</x:v>
      </x:c>
      <x:c r="B123" t="str">
        <x:v>ETTm1</x:v>
      </x:c>
      <x:c r="C123" t="n">
        <x:v>192</x:v>
      </x:c>
      <x:c r="D123" s="4" t="n">
        <x:v>0.43243333333333334</x:v>
      </x:c>
      <x:c r="E123" s="4" t="n">
        <x:v>0.4258988897005717</x:v>
      </x:c>
      <x:c r="F123" s="4" t="n">
        <x:v>0.41722679138183594</x:v>
      </x:c>
      <x:c r="G123" s="4" t="n">
        <x:v>0.39847827951113385</x:v>
      </x:c>
      <x:c r="H123" s="4" t="n">
        <x:f>IF(OR(D123="",E123=""),"",D123-E123)</x:f>
        <x:v>0.006534443632761622</x:v>
      </x:c>
      <x:c r="I123" s="5" t="n">
        <x:f>IFERROR(H123/D123,"")</x:f>
        <x:v>0.015110869419783292</x:v>
      </x:c>
      <x:c r="J123" s="4" t="n">
        <x:f>IF(OR(D123="",F123=""),"",D123-F123)</x:f>
        <x:v>0.015206541951497399</x:v>
      </x:c>
      <x:c r="K123" s="5" t="n">
        <x:f>IFERROR(J123/D123,"")</x:f>
        <x:v>0.03516505500230648</x:v>
      </x:c>
      <x:c r="L123" s="4" t="n">
        <x:f>IF(OR(E123="",G123=""),"",E123-G123)</x:f>
        <x:v>0.027420610189437866</x:v>
      </x:c>
      <x:c r="M123" s="5" t="n">
        <x:f>IFERROR(L123/E123,"")</x:f>
        <x:v>0.0643829107155361</x:v>
      </x:c>
      <x:c r="N123" s="4" t="n">
        <x:f>IF(OR(F123="",G123=""),"",F123-G123)</x:f>
        <x:v>0.01874851187070209</x:v>
      </x:c>
      <x:c r="O123" s="5" t="n">
        <x:f>IFERROR(N123/F123,"")</x:f>
        <x:v>0.04493602102733595</x:v>
      </x:c>
      <x:c r="P123" t="str">
        <x:v>3 seeds: 0 1 2</x:v>
      </x:c>
      <x:c r="Q123" t="str">
        <x:v>3 seeds: 0 1 2</x:v>
      </x:c>
      <x:c r="R123" t="str">
        <x:v>3 seeds: 0 1 2</x:v>
      </x:c>
      <x:c r="S123" t="str">
        <x:v>3 seeds: 0 1 2</x:v>
      </x:c>
    </x:row>
    <x:row r="124">
      <x:c r="A124" t="str">
        <x:v>OLS</x:v>
      </x:c>
      <x:c r="B124" t="str">
        <x:v>ETTm1</x:v>
      </x:c>
      <x:c r="C124" t="n">
        <x:v>336</x:v>
      </x:c>
      <x:c r="D124" s="4" t="n">
        <x:v>0.505</x:v>
      </x:c>
      <x:c r="E124" s="4" t="n">
        <x:v>0.5017567276954651</x:v>
      </x:c>
      <x:c r="F124" s="4" t="n">
        <x:v>0.4976426462332408</x:v>
      </x:c>
      <x:c r="G124" s="4" t="n">
        <x:v>0.45406317710876465</x:v>
      </x:c>
      <x:c r="H124" s="4" t="n">
        <x:f>IF(OR(D124="",E124=""),"",D124-E124)</x:f>
        <x:v>0.0032432723045349166</x:v>
      </x:c>
      <x:c r="I124" s="5" t="n">
        <x:f>IFERROR(H124/D124,"")</x:f>
        <x:v>0.006422321395118647</x:v>
      </x:c>
      <x:c r="J124" s="4" t="n">
        <x:f>IF(OR(D124="",F124=""),"",D124-F124)</x:f>
        <x:v>0.007357353766759223</x:v>
      </x:c>
      <x:c r="K124" s="5" t="n">
        <x:f>IFERROR(J124/D124,"")</x:f>
        <x:v>0.014569017359919252</x:v>
      </x:c>
      <x:c r="L124" s="4" t="n">
        <x:f>IF(OR(E124="",G124=""),"",E124-G124)</x:f>
        <x:v>0.04769355058670044</x:v>
      </x:c>
      <x:c r="M124" s="5" t="n">
        <x:f>IFERROR(L124/E124,"")</x:f>
        <x:v>0.09505313621952556</x:v>
      </x:c>
      <x:c r="N124" s="4" t="n">
        <x:f>IF(OR(F124="",G124=""),"",F124-G124)</x:f>
        <x:v>0.04357946912447613</x:v>
      </x:c>
      <x:c r="O124" s="5" t="n">
        <x:f>IFERROR(N124/F124,"")</x:f>
        <x:v>0.08757181373891099</x:v>
      </x:c>
      <x:c r="P124" t="str">
        <x:v>3 seeds: 0 1 2</x:v>
      </x:c>
      <x:c r="Q124" t="str">
        <x:v>3 seeds: 0 1 2</x:v>
      </x:c>
      <x:c r="R124" t="str">
        <x:v>3 seeds: 0 1 2</x:v>
      </x:c>
      <x:c r="S124" t="str">
        <x:v>3 seeds: 0 1 2</x:v>
      </x:c>
    </x:row>
    <x:row r="125">
      <x:c r="A125" t="str">
        <x:v>OLS</x:v>
      </x:c>
      <x:c r="B125" t="str">
        <x:v>ETTm1</x:v>
      </x:c>
      <x:c r="C125" t="n">
        <x:v>720</x:v>
      </x:c>
      <x:c r="D125" s="4" t="n">
        <x:v>0.5793</x:v>
      </x:c>
      <x:c r="E125" s="4" t="n">
        <x:v>0.542260984579722</x:v>
      </x:c>
      <x:c r="F125" s="4" t="n">
        <x:v>0.580982506275177</x:v>
      </x:c>
      <x:c r="G125" s="4" t="n">
        <x:v>0.46500633160273236</x:v>
      </x:c>
      <x:c r="H125" s="4" t="n">
        <x:f>IF(OR(D125="",E125=""),"",D125-E125)</x:f>
        <x:v>0.03703901542027799</x:v>
      </x:c>
      <x:c r="I125" s="5" t="n">
        <x:f>IFERROR(H125/D125,"")</x:f>
        <x:v>0.06393753740769546</x:v>
      </x:c>
      <x:c r="J125" s="4" t="n">
        <x:f>IF(OR(D125="",F125=""),"",D125-F125)</x:f>
        <x:v>-0.0016825062751769648</x:v>
      </x:c>
      <x:c r="K125" s="5" t="n">
        <x:f>IFERROR(J125/D125,"")</x:f>
        <x:v>-0.0029043781722371217</x:v>
      </x:c>
      <x:c r="L125" s="4" t="n">
        <x:f>IF(OR(E125="",G125=""),"",E125-G125)</x:f>
        <x:v>0.07725465297698969</x:v>
      </x:c>
      <x:c r="M125" s="5" t="n">
        <x:f>IFERROR(L125/E125,"")</x:f>
        <x:v>0.1424676588836014</x:v>
      </x:c>
      <x:c r="N125" s="4" t="n">
        <x:f>IF(OR(F125="",G125=""),"",F125-G125)</x:f>
        <x:v>0.11597617467244464</x:v>
      </x:c>
      <x:c r="O125" s="5" t="n">
        <x:f>IFERROR(N125/F125,"")</x:f>
        <x:v>0.19962076899009693</x:v>
      </x:c>
      <x:c r="P125" t="str">
        <x:v>3 seeds: 0 1 2</x:v>
      </x:c>
      <x:c r="Q125" t="str">
        <x:v>3 seeds: 0 1 2</x:v>
      </x:c>
      <x:c r="R125" t="str">
        <x:v>3 seeds: 0 1 2</x:v>
      </x:c>
      <x:c r="S125" t="str">
        <x:v>3 seeds: 0 1 2</x:v>
      </x:c>
    </x:row>
    <x:row r="126">
      <x:c r="A126" t="str">
        <x:v>OLS</x:v>
      </x:c>
      <x:c r="B126" t="str">
        <x:v>ETTm2</x:v>
      </x:c>
      <x:c r="C126" t="n">
        <x:v>96</x:v>
      </x:c>
      <x:c r="D126" s="4" t="n">
        <x:v>0.12133333333333333</x:v>
      </x:c>
      <x:c r="E126" s="4" t="n">
        <x:v>0.12283460299173991</x:v>
      </x:c>
      <x:c r="F126" s="4" t="n">
        <x:v>0.12187471240758896</x:v>
      </x:c>
      <x:c r="G126" s="4" t="n">
        <x:v>0.1176209698120753</x:v>
      </x:c>
      <x:c r="H126" s="4" t="n">
        <x:f>IF(OR(D126="",E126=""),"",D126-E126)</x:f>
        <x:v>-0.0015012696584065788</x:v>
      </x:c>
      <x:c r="I126" s="5" t="n">
        <x:f>IFERROR(H126/D126,"")</x:f>
        <x:v>-0.012373101580274</x:v>
      </x:c>
      <x:c r="J126" s="4" t="n">
        <x:f>IF(OR(D126="",F126=""),"",D126-F126)</x:f>
        <x:v>-0.000541379074255624</x:v>
      </x:c>
      <x:c r="K126" s="5" t="n">
        <x:f>IFERROR(J126/D126,"")</x:f>
        <x:v>-0.004461915447161737</x:v>
      </x:c>
      <x:c r="L126" s="4" t="n">
        <x:f>IF(OR(E126="",G126=""),"",E126-G126)</x:f>
        <x:v>0.005213633179664612</x:v>
      </x:c>
      <x:c r="M126" s="5" t="n">
        <x:f>IFERROR(L126/E126,"")</x:f>
        <x:v>0.04244433614537107</x:v>
      </x:c>
      <x:c r="N126" s="4" t="n">
        <x:f>IF(OR(F126="",G126=""),"",F126-G126)</x:f>
        <x:v>0.004253742595513657</x:v>
      </x:c>
      <x:c r="O126" s="5" t="n">
        <x:f>IFERROR(N126/F126,"")</x:f>
        <x:v>0.034902585708573804</x:v>
      </x:c>
      <x:c r="P126" t="str">
        <x:v>3 seeds: 0 1 2</x:v>
      </x:c>
      <x:c r="Q126" t="str">
        <x:v>3 seeds: 0 1 2</x:v>
      </x:c>
      <x:c r="R126" t="str">
        <x:v>3 seeds: 0 1 2</x:v>
      </x:c>
      <x:c r="S126" t="str">
        <x:v>3 seeds: 0 1 2</x:v>
      </x:c>
    </x:row>
    <x:row r="127">
      <x:c r="A127" t="str">
        <x:v>OLS</x:v>
      </x:c>
      <x:c r="B127" t="str">
        <x:v>ETTm2</x:v>
      </x:c>
      <x:c r="C127" t="n">
        <x:v>192</x:v>
      </x:c>
      <x:c r="D127" s="4" t="n">
        <x:v>0.1497</x:v>
      </x:c>
      <x:c r="E127" s="4" t="n">
        <x:v>0.16389205058415732</x:v>
      </x:c>
      <x:c r="F127" s="4" t="n">
        <x:v>0.15484239161014557</x:v>
      </x:c>
      <x:c r="G127" s="4" t="n">
        <x:v>0.15545007586479187</x:v>
      </x:c>
      <x:c r="H127" s="4" t="n">
        <x:f>IF(OR(D127="",E127=""),"",D127-E127)</x:f>
        <x:v>-0.014192050584157317</x:v>
      </x:c>
      <x:c r="I127" s="5" t="n">
        <x:f>IFERROR(H127/D127,"")</x:f>
        <x:v>-0.09480327711527935</x:v>
      </x:c>
      <x:c r="J127" s="4" t="n">
        <x:f>IF(OR(D127="",F127=""),"",D127-F127)</x:f>
        <x:v>-0.005142391610145569</x:v>
      </x:c>
      <x:c r="K127" s="5" t="n">
        <x:f>IFERROR(J127/D127,"")</x:f>
        <x:v>-0.03435131336102584</x:v>
      </x:c>
      <x:c r="L127" s="4" t="n">
        <x:f>IF(OR(E127="",G127=""),"",E127-G127)</x:f>
        <x:v>0.008441974719365447</x:v>
      </x:c>
      <x:c r="M127" s="5" t="n">
        <x:f>IFERROR(L127/E127,"")</x:f>
        <x:v>0.05150936051672962</x:v>
      </x:c>
      <x:c r="N127" s="4" t="n">
        <x:f>IF(OR(F127="",G127=""),"",F127-G127)</x:f>
        <x:v>-0.0006076842546463013</x:v>
      </x:c>
      <x:c r="O127" s="5" t="n">
        <x:f>IFERROR(N127/F127,"")</x:f>
        <x:v>-0.003924534155842143</x:v>
      </x:c>
      <x:c r="P127" t="str">
        <x:v>3 seeds: 0 1 2</x:v>
      </x:c>
      <x:c r="Q127" t="str">
        <x:v>3 seeds: 0 1 2</x:v>
      </x:c>
      <x:c r="R127" t="str">
        <x:v>3 seeds: 0 1 2</x:v>
      </x:c>
      <x:c r="S127" t="str">
        <x:v>3 seeds: 0 1 2</x:v>
      </x:c>
    </x:row>
    <x:row r="128">
      <x:c r="A128" t="str">
        <x:v>OLS</x:v>
      </x:c>
      <x:c r="B128" t="str">
        <x:v>ETTm2</x:v>
      </x:c>
      <x:c r="C128" t="n">
        <x:v>336</x:v>
      </x:c>
      <x:c r="D128" s="4" t="n">
        <x:v>0.18306666666666668</x:v>
      </x:c>
      <x:c r="E128" s="4" t="n">
        <x:v>0.190484419465065</x:v>
      </x:c>
      <x:c r="F128" s="4" t="n">
        <x:v>0.19286707043647766</x:v>
      </x:c>
      <x:c r="G128" s="4" t="n">
        <x:v>0.16509732604026794</x:v>
      </x:c>
      <x:c r="H128" s="4" t="n">
        <x:f>IF(OR(D128="",E128=""),"",D128-E128)</x:f>
        <x:v>-0.007417752798398319</x:v>
      </x:c>
      <x:c r="I128" s="5" t="n">
        <x:f>IFERROR(H128/D128,"")</x:f>
        <x:v>-0.0405194071289056</x:v>
      </x:c>
      <x:c r="J128" s="4" t="n">
        <x:f>IF(OR(D128="",F128=""),"",D128-F128)</x:f>
        <x:v>-0.009800403769810978</x:v>
      </x:c>
      <x:c r="K128" s="5" t="n">
        <x:f>IFERROR(J128/D128,"")</x:f>
        <x:v>-0.05353461636823185</x:v>
      </x:c>
      <x:c r="L128" s="4" t="n">
        <x:f>IF(OR(E128="",G128=""),"",E128-G128)</x:f>
        <x:v>0.025387093424797058</x:v>
      </x:c>
      <x:c r="M128" s="5" t="n">
        <x:f>IFERROR(L128/E128,"")</x:f>
        <x:v>0.13327648264404676</x:v>
      </x:c>
      <x:c r="N128" s="4" t="n">
        <x:f>IF(OR(F128="",G128=""),"",F128-G128)</x:f>
        <x:v>0.027769744396209717</x:v>
      </x:c>
      <x:c r="O128" s="5" t="n">
        <x:f>IFERROR(N128/F128,"")</x:f>
        <x:v>0.1439838554780968</x:v>
      </x:c>
      <x:c r="P128" t="str">
        <x:v>3 seeds: 0 1 2</x:v>
      </x:c>
      <x:c r="Q128" t="str">
        <x:v>3 seeds: 0 1 2</x:v>
      </x:c>
      <x:c r="R128" t="str">
        <x:v>3 seeds: 0 1 2</x:v>
      </x:c>
      <x:c r="S128" t="str">
        <x:v>3 seeds: 0 1 2</x:v>
      </x:c>
    </x:row>
    <x:row r="129">
      <x:c r="A129" t="str">
        <x:v>OLS</x:v>
      </x:c>
      <x:c r="B129" t="str">
        <x:v>ETTm2</x:v>
      </x:c>
      <x:c r="C129" t="n">
        <x:v>720</x:v>
      </x:c>
      <x:c r="D129" s="4" t="n">
        <x:v>0.24123333333333333</x:v>
      </x:c>
      <x:c r="E129" s="4" t="n">
        <x:v>0.22198081016540527</x:v>
      </x:c>
      <x:c r="F129" s="4" t="n">
        <x:v>0.2479599565267563</x:v>
      </x:c>
      <x:c r="G129" s="4" t="n">
        <x:v>0.17214034994443259</x:v>
      </x:c>
      <x:c r="H129" s="4" t="n">
        <x:f>IF(OR(D129="",E129=""),"",D129-E129)</x:f>
        <x:v>0.019252523167928054</x:v>
      </x:c>
      <x:c r="I129" s="5" t="n">
        <x:f>IFERROR(H129/D129,"")</x:f>
        <x:v>0.07980871839682764</x:v>
      </x:c>
      <x:c r="J129" s="4" t="n">
        <x:f>IF(OR(D129="",F129=""),"",D129-F129)</x:f>
        <x:v>-0.006726623193422959</x:v>
      </x:c>
      <x:c r="K129" s="5" t="n">
        <x:f>IFERROR(J129/D129,"")</x:f>
        <x:v>-0.027884302307957548</x:v>
      </x:c>
      <x:c r="L129" s="4" t="n">
        <x:f>IF(OR(E129="",G129=""),"",E129-G129)</x:f>
        <x:v>0.04984046022097269</x:v>
      </x:c>
      <x:c r="M129" s="5" t="n">
        <x:f>IFERROR(L129/E129,"")</x:f>
        <x:v>0.2245259857545114</x:v>
      </x:c>
      <x:c r="N129" s="4" t="n">
        <x:f>IF(OR(F129="",G129=""),"",F129-G129)</x:f>
        <x:v>0.0758196065823237</x:v>
      </x:c>
      <x:c r="O129" s="5" t="n">
        <x:f>IFERROR(N129/F129,"")</x:f>
        <x:v>0.3057735920119922</x:v>
      </x:c>
      <x:c r="P129" t="str">
        <x:v>3 seeds: 0 1 2</x:v>
      </x:c>
      <x:c r="Q129" t="str">
        <x:v>3 seeds: 0 1 2</x:v>
      </x:c>
      <x:c r="R129" t="str">
        <x:v>3 seeds: 0 1 2</x:v>
      </x:c>
      <x:c r="S129" t="str">
        <x:v>3 seeds: 0 1 2</x:v>
      </x:c>
    </x:row>
    <x:row r="130">
      <x:c r="A130" t="str">
        <x:v>OLS</x:v>
      </x:c>
      <x:c r="B130" t="str">
        <x:v>Exchange Rate</x:v>
      </x:c>
      <x:c r="C130" t="n">
        <x:v>96</x:v>
      </x:c>
      <x:c r="D130" s="4" t="n">
        <x:v>0.08143333333333333</x:v>
      </x:c>
      <x:c r="E130" s="4" t="n">
        <x:v>0.07885446151097615</x:v>
      </x:c>
      <x:c r="F130" s="4" t="n">
        <x:v>0.07816929866870244</x:v>
      </x:c>
      <x:c r="G130" s="4" t="n">
        <x:v>0.07900888472795486</x:v>
      </x:c>
      <x:c r="H130" s="4" t="n">
        <x:f>IF(OR(D130="",E130=""),"",D130-E130)</x:f>
        <x:v>0.002578871822357179</x:v>
      </x:c>
      <x:c r="I130" s="5" t="n">
        <x:f>IFERROR(H130/D130,"")</x:f>
        <x:v>0.031668503753874484</x:v>
      </x:c>
      <x:c r="J130" s="4" t="n">
        <x:f>IF(OR(D130="",F130=""),"",D130-F130)</x:f>
        <x:v>0.003264034664630891</x:v>
      </x:c>
      <x:c r="K130" s="5" t="n">
        <x:f>IFERROR(J130/D130,"")</x:f>
        <x:v>0.040082292238611025</x:v>
      </x:c>
      <x:c r="L130" s="4" t="n">
        <x:f>IF(OR(E130="",G130=""),"",E130-G130)</x:f>
        <x:v>-0.00015442321697871353</x:v>
      </x:c>
      <x:c r="M130" s="5" t="n">
        <x:f>IFERROR(L130/E130,"")</x:f>
        <x:v>-0.0019583320210387663</x:v>
      </x:c>
      <x:c r="N130" s="4" t="n">
        <x:f>IF(OR(F130="",G130=""),"",F130-G130)</x:f>
        <x:v>-0.0008395860592524257</x:v>
      </x:c>
      <x:c r="O130" s="5" t="n">
        <x:f>IFERROR(N130/F130,"")</x:f>
        <x:v>-0.010740611385177755</x:v>
      </x:c>
      <x:c r="P130" t="str">
        <x:v>3 seeds: 0 1 2</x:v>
      </x:c>
      <x:c r="Q130" t="str">
        <x:v>3 seeds: 0 1 2</x:v>
      </x:c>
      <x:c r="R130" t="str">
        <x:v>3 seeds: 0 1 2</x:v>
      </x:c>
      <x:c r="S130" t="str">
        <x:v>3 seeds: 0 1 2</x:v>
      </x:c>
    </x:row>
    <x:row r="131">
      <x:c r="A131" t="str">
        <x:v>OLS</x:v>
      </x:c>
      <x:c r="B131" t="str">
        <x:v>Exchange Rate</x:v>
      </x:c>
      <x:c r="C131" t="n">
        <x:v>192</x:v>
      </x:c>
      <x:c r="D131" s="4" t="n">
        <x:v>0.1722</x:v>
      </x:c>
      <x:c r="E131" s="4" t="n">
        <x:v>0.15232479572296143</x:v>
      </x:c>
      <x:c r="F131" s="4" t="n">
        <x:v>0.1575752298037211</x:v>
      </x:c>
      <x:c r="G131" s="4" t="n">
        <x:v>0.14753136038780212</x:v>
      </x:c>
      <x:c r="H131" s="4" t="n">
        <x:f>IF(OR(D131="",E131=""),"",D131-E131)</x:f>
        <x:v>0.019875204277038566</x:v>
      </x:c>
      <x:c r="I131" s="5" t="n">
        <x:f>IFERROR(H131/D131,"")</x:f>
        <x:v>0.11541930474470713</x:v>
      </x:c>
      <x:c r="J131" s="4" t="n">
        <x:f>IF(OR(D131="",F131=""),"",D131-F131)</x:f>
        <x:v>0.014624770196278891</x:v>
      </x:c>
      <x:c r="K131" s="5" t="n">
        <x:f>IFERROR(J131/D131,"")</x:f>
        <x:v>0.08492897907246744</x:v>
      </x:c>
      <x:c r="L131" s="4" t="n">
        <x:f>IF(OR(E131="",G131=""),"",E131-G131)</x:f>
        <x:v>0.004793435335159302</x:v>
      </x:c>
      <x:c r="M131" s="5" t="n">
        <x:f>IFERROR(L131/E131,"")</x:f>
        <x:v>0.031468516418543535</x:v>
      </x:c>
      <x:c r="N131" s="4" t="n">
        <x:f>IF(OR(F131="",G131=""),"",F131-G131)</x:f>
        <x:v>0.010043869415918977</x:v>
      </x:c>
      <x:c r="O131" s="5" t="n">
        <x:f>IFERROR(N131/F131,"")</x:f>
        <x:v>0.06374015401043567</x:v>
      </x:c>
      <x:c r="P131" t="str">
        <x:v>3 seeds: 0 1 2</x:v>
      </x:c>
      <x:c r="Q131" t="str">
        <x:v>3 seeds: 0 1 2</x:v>
      </x:c>
      <x:c r="R131" t="str">
        <x:v>3 seeds: 0 1 2</x:v>
      </x:c>
      <x:c r="S131" t="str">
        <x:v>3 seeds: 0 1 2</x:v>
      </x:c>
    </x:row>
    <x:row r="132">
      <x:c r="A132" t="str">
        <x:v>OLS</x:v>
      </x:c>
      <x:c r="B132" t="str">
        <x:v>Exchange Rate</x:v>
      </x:c>
      <x:c r="C132" t="n">
        <x:v>336</x:v>
      </x:c>
      <x:c r="D132" s="4" t="n">
        <x:v>0.32256666666666667</x:v>
      </x:c>
      <x:c r="E132" s="4" t="n">
        <x:v>0.21848771472771963</x:v>
      </x:c>
      <x:c r="F132" s="4" t="n">
        <x:v>0.2708100179831187</x:v>
      </x:c>
      <x:c r="G132" s="4" t="n">
        <x:v>0.2117681751648585</x:v>
      </x:c>
      <x:c r="H132" s="4" t="n">
        <x:f>IF(OR(D132="",E132=""),"",D132-E132)</x:f>
        <x:v>0.10407895193894703</x:v>
      </x:c>
      <x:c r="I132" s="5" t="n">
        <x:f>IFERROR(H132/D132,"")</x:f>
        <x:v>0.322658732889161</x:v>
      </x:c>
      <x:c r="J132" s="4" t="n">
        <x:f>IF(OR(D132="",F132=""),"",D132-F132)</x:f>
        <x:v>0.05175664868354796</x:v>
      </x:c>
      <x:c r="K132" s="5" t="n">
        <x:f>IFERROR(J132/D132,"")</x:f>
        <x:v>0.16045256386343273</x:v>
      </x:c>
      <x:c r="L132" s="4" t="n">
        <x:f>IF(OR(E132="",G132=""),"",E132-G132)</x:f>
        <x:v>0.006719539562861143</x:v>
      </x:c>
      <x:c r="M132" s="5" t="n">
        <x:f>IFERROR(L132/E132,"")</x:f>
        <x:v>0.030754770680058892</x:v>
      </x:c>
      <x:c r="N132" s="4" t="n">
        <x:f>IF(OR(F132="",G132=""),"",F132-G132)</x:f>
        <x:v>0.05904184281826022</x:v>
      </x:c>
      <x:c r="O132" s="5" t="n">
        <x:f>IFERROR(N132/F132,"")</x:f>
        <x:v>0.21801941914106246</x:v>
      </x:c>
      <x:c r="P132" t="str">
        <x:v>3 seeds: 0 1 2</x:v>
      </x:c>
      <x:c r="Q132" t="str">
        <x:v>3 seeds: 0 1 2</x:v>
      </x:c>
      <x:c r="R132" t="str">
        <x:v>3 seeds: 0 1 2</x:v>
      </x:c>
      <x:c r="S132" t="str">
        <x:v>3 seeds: 0 1 2</x:v>
      </x:c>
    </x:row>
    <x:row r="133">
      <x:c r="A133" t="str">
        <x:v>OLS</x:v>
      </x:c>
      <x:c r="B133" t="str">
        <x:v>Exchange Rate</x:v>
      </x:c>
      <x:c r="C133" t="n">
        <x:v>720</x:v>
      </x:c>
      <x:c r="D133" s="4" t="n">
        <x:v>0.8359333333333333</x:v>
      </x:c>
      <x:c r="E133" s="4" t="n">
        <x:v>0.32598111033439636</x:v>
      </x:c>
      <x:c r="F133" s="4" t="n">
        <x:v>0.49643686413764954</x:v>
      </x:c>
      <x:c r="G133" s="4" t="n">
        <x:v>0.32824990153312683</x:v>
      </x:c>
      <x:c r="H133" s="4" t="n">
        <x:f>IF(OR(D133="",E133=""),"",D133-E133)</x:f>
        <x:v>0.5099522229989369</x:v>
      </x:c>
      <x:c r="I133" s="5" t="n">
        <x:f>IFERROR(H133/D133,"")</x:f>
        <x:v>0.6100393448428147</x:v>
      </x:c>
      <x:c r="J133" s="4" t="n">
        <x:f>IF(OR(D133="",F133=""),"",D133-F133)</x:f>
        <x:v>0.33949646919568377</x:v>
      </x:c>
      <x:c r="K133" s="5" t="n">
        <x:f>IFERROR(J133/D133,"")</x:f>
        <x:v>0.4061286416728014</x:v>
      </x:c>
      <x:c r="L133" s="4" t="n">
        <x:f>IF(OR(E133="",G133=""),"",E133-G133)</x:f>
        <x:v>-0.0022687911987304688</x:v>
      </x:c>
      <x:c r="M133" s="5" t="n">
        <x:f>IFERROR(L133/E133,"")</x:f>
        <x:v>-0.0069598854866256155</x:v>
      </x:c>
      <x:c r="N133" s="4" t="n">
        <x:f>IF(OR(F133="",G133=""),"",F133-G133)</x:f>
        <x:v>0.1681869626045227</x:v>
      </x:c>
      <x:c r="O133" s="5" t="n">
        <x:f>IFERROR(N133/F133,"")</x:f>
        <x:v>0.3387882221371229</x:v>
      </x:c>
      <x:c r="P133" t="str">
        <x:v>3 seeds: 0 1 2</x:v>
      </x:c>
      <x:c r="Q133" t="str">
        <x:v>3 seeds: 0 1 2</x:v>
      </x:c>
      <x:c r="R133" t="str">
        <x:v>3 seeds: 0 1 2</x:v>
      </x:c>
      <x:c r="S133" t="str">
        <x:v>3 seeds: 0 1 2</x:v>
      </x:c>
    </x:row>
    <x:row r="134">
      <x:c r="A134" t="str">
        <x:v>OLS</x:v>
      </x:c>
      <x:c r="B134" t="str">
        <x:v>weather</x:v>
      </x:c>
      <x:c r="C134" t="n">
        <x:v>96</x:v>
      </x:c>
      <x:c r="D134" s="4" t="n">
        <x:v>0.19506666666666667</x:v>
      </x:c>
      <x:c r="E134" s="4" t="n">
        <x:v>0.1883797546227773</x:v>
      </x:c>
      <x:c r="F134" s="4" t="n">
        <x:v>0.1877320408821106</x:v>
      </x:c>
      <x:c r="G134" s="4" t="n">
        <x:v>0.1843416541814804</x:v>
      </x:c>
      <x:c r="H134" s="4" t="n">
        <x:f>IF(OR(D134="",E134=""),"",D134-E134)</x:f>
        <x:v>0.006686912043889354</x:v>
      </x:c>
      <x:c r="I134" s="5" t="n">
        <x:f>IFERROR(H134/D134,"")</x:f>
        <x:v>0.03428013693039655</x:v>
      </x:c>
      <x:c r="J134" s="4" t="n">
        <x:f>IF(OR(D134="",F134=""),"",D134-F134)</x:f>
        <x:v>0.00733462578455607</x:v>
      </x:c>
      <x:c r="K134" s="5" t="n">
        <x:f>IFERROR(J134/D134,"")</x:f>
        <x:v>0.03760061065220132</x:v>
      </x:c>
      <x:c r="L134" s="4" t="n">
        <x:f>IF(OR(E134="",G134=""),"",E134-G134)</x:f>
        <x:v>0.004038100441296905</x:v>
      </x:c>
      <x:c r="M134" s="5" t="n">
        <x:f>IFERROR(L134/E134,"")</x:f>
        <x:v>0.021435957645146286</x:v>
      </x:c>
      <x:c r="N134" s="4" t="n">
        <x:f>IF(OR(F134="",G134=""),"",F134-G134)</x:f>
        <x:v>0.003390386700630188</x:v>
      </x:c>
      <x:c r="O134" s="5" t="n">
        <x:f>IFERROR(N134/F134,"")</x:f>
        <x:v>0.018059712581291527</x:v>
      </x:c>
      <x:c r="P134" t="str">
        <x:v>3 seeds: 0 1 2</x:v>
      </x:c>
      <x:c r="Q134" t="str">
        <x:v>3 seeds: 0 1 2</x:v>
      </x:c>
      <x:c r="R134" t="str">
        <x:v>3 seeds: 0 1 2</x:v>
      </x:c>
      <x:c r="S134" t="str">
        <x:v>3 seeds: 0 1 2</x:v>
      </x:c>
    </x:row>
    <x:row r="135">
      <x:c r="A135" t="str">
        <x:v>OLS</x:v>
      </x:c>
      <x:c r="B135" t="str">
        <x:v>weather</x:v>
      </x:c>
      <x:c r="C135" t="n">
        <x:v>192</x:v>
      </x:c>
      <x:c r="D135" s="4" t="n">
        <x:v>0.2402</x:v>
      </x:c>
      <x:c r="E135" s="4" t="n">
        <x:v>0.24258825679620108</x:v>
      </x:c>
      <x:c r="F135" s="4" t="n">
        <x:v>0.24211193124453226</x:v>
      </x:c>
      <x:c r="G135" s="4" t="n">
        <x:v>0.2260005921125412</x:v>
      </x:c>
      <x:c r="H135" s="4" t="n">
        <x:f>IF(OR(D135="",E135=""),"",D135-E135)</x:f>
        <x:v>-0.0023882567962010826</x:v>
      </x:c>
      <x:c r="I135" s="5" t="n">
        <x:f>IFERROR(H135/D135,"")</x:f>
        <x:v>-0.009942784330562376</x:v>
      </x:c>
      <x:c r="J135" s="4" t="n">
        <x:f>IF(OR(D135="",F135=""),"",D135-F135)</x:f>
        <x:v>-0.0019119312445322612</x:v>
      </x:c>
      <x:c r="K135" s="5" t="n">
        <x:f>IFERROR(J135/D135,"")</x:f>
        <x:v>-0.007959747062998589</x:v>
      </x:c>
      <x:c r="L135" s="4" t="n">
        <x:f>IF(OR(E135="",G135=""),"",E135-G135)</x:f>
        <x:v>0.01658766468365988</x:v>
      </x:c>
      <x:c r="M135" s="5" t="n">
        <x:f>IFERROR(L135/E135,"")</x:f>
        <x:v>0.06837785514735453</x:v>
      </x:c>
      <x:c r="N135" s="4" t="n">
        <x:f>IF(OR(F135="",G135=""),"",F135-G135)</x:f>
        <x:v>0.01611133913199106</x:v>
      </x:c>
      <x:c r="O135" s="5" t="n">
        <x:f>IFERROR(N135/F135,"")</x:f>
        <x:v>0.06654500275626095</x:v>
      </x:c>
      <x:c r="P135" t="str">
        <x:v>3 seeds: 0 1 2</x:v>
      </x:c>
      <x:c r="Q135" t="str">
        <x:v>3 seeds: 0 1 2</x:v>
      </x:c>
      <x:c r="R135" t="str">
        <x:v>3 seeds: 0 1 2</x:v>
      </x:c>
      <x:c r="S135" t="str">
        <x:v>3 seeds: 0 1 2</x:v>
      </x:c>
    </x:row>
    <x:row r="136">
      <x:c r="A136" t="str">
        <x:v>OLS</x:v>
      </x:c>
      <x:c r="B136" t="str">
        <x:v>weather</x:v>
      </x:c>
      <x:c r="C136" t="n">
        <x:v>336</x:v>
      </x:c>
      <x:c r="D136" s="4" t="n">
        <x:v>0.2919333333333333</x:v>
      </x:c>
      <x:c r="E136" s="4" t="n">
        <x:v>0.3103248178958893</x:v>
      </x:c>
      <x:c r="F136" s="4" t="n">
        <x:v>0.34887321790059406</x:v>
      </x:c>
      <x:c r="G136" s="4" t="n">
        <x:v>0.23392313718795776</x:v>
      </x:c>
      <x:c r="H136" s="4" t="n">
        <x:f>IF(OR(D136="",E136=""),"",D136-E136)</x:f>
        <x:v>-0.01839148456255596</x:v>
      </x:c>
      <x:c r="I136" s="5" t="n">
        <x:f>IFERROR(H136/D136,"")</x:f>
        <x:v>-0.06299891948808847</x:v>
      </x:c>
      <x:c r="J136" s="4" t="n">
        <x:f>IF(OR(D136="",F136=""),"",D136-F136)</x:f>
        <x:v>-0.056939884567260735</x:v>
      </x:c>
      <x:c r="K136" s="5" t="n">
        <x:f>IFERROR(J136/D136,"")</x:f>
        <x:v>-0.19504413530689907</x:v>
      </x:c>
      <x:c r="L136" s="4" t="n">
        <x:f>IF(OR(E136="",G136=""),"",E136-G136)</x:f>
        <x:v>0.07640168070793152</x:v>
      </x:c>
      <x:c r="M136" s="5" t="n">
        <x:f>IFERROR(L136/E136,"")</x:f>
        <x:v>0.24619906724174243</x:v>
      </x:c>
      <x:c r="N136" s="4" t="n">
        <x:f>IF(OR(F136="",G136=""),"",F136-G136)</x:f>
        <x:v>0.1149500807126363</x:v>
      </x:c>
      <x:c r="O136" s="5" t="n">
        <x:f>IFERROR(N136/F136,"")</x:f>
        <x:v>0.32948955326628</x:v>
      </x:c>
      <x:c r="P136" t="str">
        <x:v>3 seeds: 0 1 2</x:v>
      </x:c>
      <x:c r="Q136" t="str">
        <x:v>3 seeds: 0 1 2</x:v>
      </x:c>
      <x:c r="R136" t="str">
        <x:v>3 seeds: 0 1 2</x:v>
      </x:c>
      <x:c r="S136" t="str">
        <x:v>3 seeds: 0 1 2</x:v>
      </x:c>
    </x:row>
    <x:row r="137">
      <x:c r="A137" t="str">
        <x:v>OLS</x:v>
      </x:c>
      <x:c r="B137" t="str">
        <x:v>weather</x:v>
      </x:c>
      <x:c r="C137" t="n">
        <x:v>720</x:v>
      </x:c>
      <x:c r="D137" s="4" t="n">
        <x:v>0.36423333333333335</x:v>
      </x:c>
      <x:c r="E137" s="4" t="n">
        <x:v>0.33591469128926593</x:v>
      </x:c>
      <x:c r="F137" s="4" t="n">
        <x:v>0.3716016908486684</x:v>
      </x:c>
      <x:c r="G137" s="4" t="n">
        <x:v>0.22121495008468628</x:v>
      </x:c>
      <x:c r="H137" s="4" t="n">
        <x:f>IF(OR(D137="",E137=""),"",D137-E137)</x:f>
        <x:v>0.02831864204406742</x:v>
      </x:c>
      <x:c r="I137" s="5" t="n">
        <x:f>IFERROR(H137/D137,"")</x:f>
        <x:v>0.07774862828974308</x:v>
      </x:c>
      <x:c r="J137" s="4" t="n">
        <x:f>IF(OR(D137="",F137=""),"",D137-F137)</x:f>
        <x:v>-0.0073683575153350445</x:v>
      </x:c>
      <x:c r="K137" s="5" t="n">
        <x:f>IFERROR(J137/D137,"")</x:f>
        <x:v>-0.020229772623780666</x:v>
      </x:c>
      <x:c r="L137" s="4" t="n">
        <x:f>IF(OR(E137="",G137=""),"",E137-G137)</x:f>
        <x:v>0.11469974120457965</x:v>
      </x:c>
      <x:c r="M137" s="5" t="n">
        <x:f>IFERROR(L137/E137,"")</x:f>
        <x:v>0.34145497109505213</x:v>
      </x:c>
      <x:c r="N137" s="4" t="n">
        <x:f>IF(OR(F137="",G137=""),"",F137-G137)</x:f>
        <x:v>0.15038674076398212</x:v>
      </x:c>
      <x:c r="O137" s="5" t="n">
        <x:f>IFERROR(N137/F137,"")</x:f>
        <x:v>0.4046987526362624</x:v>
      </x:c>
      <x:c r="P137" t="str">
        <x:v>3 seeds: 0 1 2</x:v>
      </x:c>
      <x:c r="Q137" t="str">
        <x:v>3 seeds: 0 1 2</x:v>
      </x:c>
      <x:c r="R137" t="str">
        <x:v>3 seeds: 0 1 2</x:v>
      </x:c>
      <x:c r="S137" t="str">
        <x:v>3 seeds: 0 1 2</x:v>
      </x:c>
    </x:row>
    <x:row r="138">
      <x:c r="A138" t="str">
        <x:v>OLS</x:v>
      </x:c>
      <x:c r="B138" t="str">
        <x:v>electricity</x:v>
      </x:c>
      <x:c r="C138" t="n">
        <x:v>96</x:v>
      </x:c>
      <x:c r="D138" s="4" t="n">
        <x:v>0.1974</x:v>
      </x:c>
      <x:c r="E138" s="4" t="n">
        <x:v>0.19613127410411835</x:v>
      </x:c>
      <x:c r="F138" s="4" t="n">
        <x:v>0.1969328224658966</x:v>
      </x:c>
      <x:c r="G138" s="4" t="n">
        <x:v>0.1920198847850164</x:v>
      </x:c>
      <x:c r="H138" s="4" t="n">
        <x:f>IF(OR(D138="",E138=""),"",D138-E138)</x:f>
        <x:v>0.001268725895881645</x:v>
      </x:c>
      <x:c r="I138" s="5" t="n">
        <x:f>IFERROR(H138/D138,"")</x:f>
        <x:v>0.006427182856543288</x:v>
      </x:c>
      <x:c r="J138" s="4" t="n">
        <x:f>IF(OR(D138="",F138=""),"",D138-F138)</x:f>
        <x:v>0.0004671775341033857</x:v>
      </x:c>
      <x:c r="K138" s="5" t="n">
        <x:f>IFERROR(J138/D138,"")</x:f>
        <x:v>0.002366654174789188</x:v>
      </x:c>
      <x:c r="L138" s="4" t="n">
        <x:f>IF(OR(E138="",G138=""),"",E138-G138)</x:f>
        <x:v>0.00411138931910196</x:v>
      </x:c>
      <x:c r="M138" s="5" t="n">
        <x:f>IFERROR(L138/E138,"")</x:f>
        <x:v>0.020962436194236857</x:v>
      </x:c>
      <x:c r="N138" s="4" t="n">
        <x:f>IF(OR(F138="",G138=""),"",F138-G138)</x:f>
        <x:v>0.004912937680880219</x:v>
      </x:c>
      <x:c r="O138" s="5" t="n">
        <x:f>IFERROR(N138/F138,"")</x:f>
        <x:v>0.024947277042814974</x:v>
      </x:c>
      <x:c r="P138" t="str">
        <x:v>3 seeds: 0 1 2</x:v>
      </x:c>
      <x:c r="Q138" t="str">
        <x:v>3 seeds: 0 1 2</x:v>
      </x:c>
      <x:c r="R138" t="str">
        <x:v>3 seeds: 0 1 2</x:v>
      </x:c>
      <x:c r="S138" t="str">
        <x:v>3 seeds: 0 1 2</x:v>
      </x:c>
    </x:row>
    <x:row r="139">
      <x:c r="A139" t="str">
        <x:v>OLS</x:v>
      </x:c>
      <x:c r="B139" t="str">
        <x:v>electricity</x:v>
      </x:c>
      <x:c r="C139" t="n">
        <x:v>192</x:v>
      </x:c>
      <x:c r="D139" s="4" t="n">
        <x:v>0.19723333333333332</x:v>
      </x:c>
      <x:c r="E139" s="4" t="n">
        <x:v>0.19497466584046683</x:v>
      </x:c>
      <x:c r="F139" s="4" t="n">
        <x:v>0.19393335282802582</x:v>
      </x:c>
      <x:c r="G139" s="4" t="n">
        <x:v>0.1913446287314097</x:v>
      </x:c>
      <x:c r="H139" s="4" t="n">
        <x:f>IF(OR(D139="",E139=""),"",D139-E139)</x:f>
        <x:v>0.0022586674928664896</x:v>
      </x:c>
      <x:c r="I139" s="5" t="n">
        <x:f>IFERROR(H139/D139,"")</x:f>
        <x:v>0.01145175338617453</x:v>
      </x:c>
      <x:c r="J139" s="4" t="n">
        <x:f>IF(OR(D139="",F139=""),"",D139-F139)</x:f>
        <x:v>0.003299980505307498</x:v>
      </x:c>
      <x:c r="K139" s="5" t="n">
        <x:f>IFERROR(J139/D139,"")</x:f>
        <x:v>0.016731352908437545</x:v>
      </x:c>
      <x:c r="L139" s="4" t="n">
        <x:f>IF(OR(E139="",G139=""),"",E139-G139)</x:f>
        <x:v>0.003630037109057127</x:v>
      </x:c>
      <x:c r="M139" s="5" t="n">
        <x:f>IFERROR(L139/E139,"")</x:f>
        <x:v>0.018617993745030006</x:v>
      </x:c>
      <x:c r="N139" s="4" t="n">
        <x:f>IF(OR(F139="",G139=""),"",F139-G139)</x:f>
        <x:v>0.0025887240966161185</x:v>
      </x:c>
      <x:c r="O139" s="5" t="n">
        <x:f>IFERROR(N139/F139,"")</x:f>
        <x:v>0.013348524422777964</x:v>
      </x:c>
      <x:c r="P139" t="str">
        <x:v>3 seeds: 0 1 2</x:v>
      </x:c>
      <x:c r="Q139" t="str">
        <x:v>3 seeds: 0 1 2</x:v>
      </x:c>
      <x:c r="R139" t="str">
        <x:v>3 seeds: 0 1 2</x:v>
      </x:c>
      <x:c r="S139" t="str">
        <x:v>3 seeds: 0 1 2</x:v>
      </x:c>
    </x:row>
    <x:row r="140">
      <x:c r="A140" t="str">
        <x:v>OLS</x:v>
      </x:c>
      <x:c r="B140" t="str">
        <x:v>electricity</x:v>
      </x:c>
      <x:c r="C140" t="n">
        <x:v>336</x:v>
      </x:c>
      <x:c r="D140" s="4" t="n">
        <x:v>0.21183333333333332</x:v>
      </x:c>
      <x:c r="E140" s="4" t="n">
        <x:v>0.20398233830928802</x:v>
      </x:c>
      <x:c r="F140" s="4" t="n">
        <x:v>0.2011847843726476</x:v>
      </x:c>
      <x:c r="G140" s="4" t="n">
        <x:v>0.1993053505818049</x:v>
      </x:c>
      <x:c r="H140" s="4" t="n">
        <x:f>IF(OR(D140="",E140=""),"",D140-E140)</x:f>
        <x:v>0.007850995024045293</x:v>
      </x:c>
      <x:c r="I140" s="5" t="n">
        <x:f>IFERROR(H140/D140,"")</x:f>
        <x:v>0.037062132292896746</x:v>
      </x:c>
      <x:c r="J140" s="4" t="n">
        <x:f>IF(OR(D140="",F140=""),"",D140-F140)</x:f>
        <x:v>0.010648548960685705</x:v>
      </x:c>
      <x:c r="K140" s="5" t="n">
        <x:f>IFERROR(J140/D140,"")</x:f>
        <x:v>0.050268523811262185</x:v>
      </x:c>
      <x:c r="L140" s="4" t="n">
        <x:f>IF(OR(E140="",G140=""),"",E140-G140)</x:f>
        <x:v>0.004676987727483123</x:v>
      </x:c>
      <x:c r="M140" s="5" t="n">
        <x:f>IFERROR(L140/E140,"")</x:f>
        <x:v>0.02292839549859285</x:v>
      </x:c>
      <x:c r="N140" s="4" t="n">
        <x:f>IF(OR(F140="",G140=""),"",F140-G140)</x:f>
        <x:v>0.0018794337908427106</x:v>
      </x:c>
      <x:c r="O140" s="5" t="n">
        <x:f>IFERROR(N140/F140,"")</x:f>
        <x:v>0.009341828690988383</x:v>
      </x:c>
      <x:c r="P140" t="str">
        <x:v>3 seeds: 0 1 2</x:v>
      </x:c>
      <x:c r="Q140" t="str">
        <x:v>3 seeds: 0 1 2</x:v>
      </x:c>
      <x:c r="R140" t="str">
        <x:v>3 seeds: 0 1 2</x:v>
      </x:c>
      <x:c r="S140" t="str">
        <x:v>3 seeds: 0 1 2</x:v>
      </x:c>
    </x:row>
    <x:row r="141">
      <x:c r="A141" t="str">
        <x:v>MICN</x:v>
      </x:c>
      <x:c r="B141" t="str">
        <x:v>ETTh1</x:v>
      </x:c>
      <x:c r="C141" t="n">
        <x:v>96</x:v>
      </x:c>
      <x:c r="D141" s="4" t="n">
        <x:v>0.5860333333333333</x:v>
      </x:c>
      <x:c r="E141" s="4" t="n">
        <x:v>0.533108115196228</x:v>
      </x:c>
      <x:c r="F141" s="4" t="n">
        <x:v>0.5378080606460571</x:v>
      </x:c>
      <x:c r="G141" s="4" t="n">
        <x:v>0.5266011754671732</x:v>
      </x:c>
      <x:c r="H141" s="4" t="n">
        <x:f>IF(OR(D141="",E141=""),"",D141-E141)</x:f>
        <x:v>0.05292521813710527</x:v>
      </x:c>
      <x:c r="I141" s="5" t="n">
        <x:f>IFERROR(H141/D141,"")</x:f>
        <x:v>0.09031093476555134</x:v>
      </x:c>
      <x:c r="J141" s="4" t="n">
        <x:f>IF(OR(D141="",F141=""),"",D141-F141)</x:f>
        <x:v>0.048225272687276166</x:v>
      </x:c>
      <x:c r="K141" s="5" t="n">
        <x:f>IFERROR(J141/D141,"")</x:f>
        <x:v>0.08229100623504267</x:v>
      </x:c>
      <x:c r="L141" s="4" t="n">
        <x:f>IF(OR(E141="",G141=""),"",E141-G141)</x:f>
        <x:v>0.006506939729054806</x:v>
      </x:c>
      <x:c r="M141" s="5" t="n">
        <x:f>IFERROR(L141/E141,"")</x:f>
        <x:v>0.012205666249630645</x:v>
      </x:c>
      <x:c r="N141" s="4" t="n">
        <x:f>IF(OR(F141="",G141=""),"",F141-G141)</x:f>
        <x:v>0.011206885178883907</x:v>
      </x:c>
      <x:c r="O141" s="5" t="n">
        <x:f>IFERROR(N141/F141,"")</x:f>
        <x:v>0.02083807588421289</x:v>
      </x:c>
      <x:c r="P141" t="str">
        <x:v>3 seeds: 0 1 2</x:v>
      </x:c>
      <x:c r="Q141" t="str">
        <x:v>3 seeds: 0 1 2</x:v>
      </x:c>
      <x:c r="R141" t="str">
        <x:v>3 seeds: 0 1 2</x:v>
      </x:c>
      <x:c r="S141" t="str">
        <x:v>3 seeds: 0 1 2</x:v>
      </x:c>
    </x:row>
    <x:row r="142">
      <x:c r="A142" t="str">
        <x:v>MICN</x:v>
      </x:c>
      <x:c r="B142" t="str">
        <x:v>ETTh1</x:v>
      </x:c>
      <x:c r="C142" t="n">
        <x:v>192</x:v>
      </x:c>
      <x:c r="D142" s="4" t="n">
        <x:v>0.6541333333333333</x:v>
      </x:c>
      <x:c r="E142" s="4" t="n">
        <x:v>0.6018863121668497</x:v>
      </x:c>
      <x:c r="F142" s="4" t="n">
        <x:v>0.6114283402760824</x:v>
      </x:c>
      <x:c r="G142" s="4" t="n">
        <x:v>0.5893027385075887</x:v>
      </x:c>
      <x:c r="H142" s="4" t="n">
        <x:f>IF(OR(D142="",E142=""),"",D142-E142)</x:f>
        <x:v>0.05224702116648361</x:v>
      </x:c>
      <x:c r="I142" s="5" t="n">
        <x:f>IFERROR(H142/D142,"")</x:f>
        <x:v>0.07987212775145272</x:v>
      </x:c>
      <x:c r="J142" s="4" t="n">
        <x:f>IF(OR(D142="",F142=""),"",D142-F142)</x:f>
        <x:v>0.04270499305725095</x:v>
      </x:c>
      <x:c r="K142" s="5" t="n">
        <x:f>IFERROR(J142/D142,"")</x:f>
        <x:v>0.06528484466558951</x:v>
      </x:c>
      <x:c r="L142" s="4" t="n">
        <x:f>IF(OR(E142="",G142=""),"",E142-G142)</x:f>
        <x:v>0.012583573659260994</x:v>
      </x:c>
      <x:c r="M142" s="5" t="n">
        <x:f>IFERROR(L142/E142,"")</x:f>
        <x:v>0.02090689454950204</x:v>
      </x:c>
      <x:c r="N142" s="4" t="n">
        <x:f>IF(OR(F142="",G142=""),"",F142-G142)</x:f>
        <x:v>0.022125601768493652</x:v>
      </x:c>
      <x:c r="O142" s="5" t="n">
        <x:f>IFERROR(N142/F142,"")</x:f>
        <x:v>0.036186745544871425</x:v>
      </x:c>
      <x:c r="P142" t="str">
        <x:v>3 seeds: 0 1 2</x:v>
      </x:c>
      <x:c r="Q142" t="str">
        <x:v>3 seeds: 0 1 2</x:v>
      </x:c>
      <x:c r="R142" t="str">
        <x:v>3 seeds: 0 1 2</x:v>
      </x:c>
      <x:c r="S142" t="str">
        <x:v>3 seeds: 0 1 2</x:v>
      </x:c>
    </x:row>
    <x:row r="143">
      <x:c r="A143" t="str">
        <x:v>MICN</x:v>
      </x:c>
      <x:c r="B143" t="str">
        <x:v>ETTh1</x:v>
      </x:c>
      <x:c r="C143" t="n">
        <x:v>336</x:v>
      </x:c>
      <x:c r="D143" s="4" t="n">
        <x:v>0.6753666666666667</x:v>
      </x:c>
      <x:c r="E143" s="4" t="n">
        <x:v>0.6675559878349304</x:v>
      </x:c>
      <x:c r="F143" s="4" t="n">
        <x:v>0.6264163851737976</x:v>
      </x:c>
      <x:c r="G143" s="4" t="n">
        <x:v>0.6438799699147543</x:v>
      </x:c>
      <x:c r="H143" s="4" t="n">
        <x:f>IF(OR(D143="",E143=""),"",D143-E143)</x:f>
        <x:v>0.007810678831736251</x:v>
      </x:c>
      <x:c r="I143" s="5" t="n">
        <x:f>IFERROR(H143/D143,"")</x:f>
        <x:v>0.011565093773855561</x:v>
      </x:c>
      <x:c r="J143" s="4" t="n">
        <x:f>IF(OR(D143="",F143=""),"",D143-F143)</x:f>
        <x:v>0.04895028149286906</x:v>
      </x:c>
      <x:c r="K143" s="5" t="n">
        <x:f>IFERROR(J143/D143,"")</x:f>
        <x:v>0.07247956393001688</x:v>
      </x:c>
      <x:c r="L143" s="4" t="n">
        <x:f>IF(OR(E143="",G143=""),"",E143-G143)</x:f>
        <x:v>0.02367601792017615</x:v>
      </x:c>
      <x:c r="M143" s="5" t="n">
        <x:f>IFERROR(L143/E143,"")</x:f>
        <x:v>0.035466714929730546</x:v>
      </x:c>
      <x:c r="N143" s="4" t="n">
        <x:f>IF(OR(F143="",G143=""),"",F143-G143)</x:f>
        <x:v>-0.01746358474095666</x:v>
      </x:c>
      <x:c r="O143" s="5" t="n">
        <x:f>IFERROR(N143/F143,"")</x:f>
        <x:v>-0.027878556746422645</x:v>
      </x:c>
      <x:c r="P143" t="str">
        <x:v>3 seeds: 0 1 2</x:v>
      </x:c>
      <x:c r="Q143" t="str">
        <x:v>3 seeds: 0 1 2</x:v>
      </x:c>
      <x:c r="R143" t="str">
        <x:v>3 seeds: 0 1 2</x:v>
      </x:c>
      <x:c r="S143" t="str">
        <x:v>3 seeds: 0 1 2</x:v>
      </x:c>
    </x:row>
    <x:row r="144">
      <x:c r="A144" t="str">
        <x:v>MICN</x:v>
      </x:c>
      <x:c r="B144" t="str">
        <x:v>ETTh1</x:v>
      </x:c>
      <x:c r="C144" t="n">
        <x:v>720</x:v>
      </x:c>
      <x:c r="D144" s="4" t="n">
        <x:v>0.8918666666666667</x:v>
      </x:c>
      <x:c r="E144" s="4" t="n">
        <x:v>0.691416323184967</x:v>
      </x:c>
      <x:c r="F144" s="4" t="n">
        <x:v>0.6502132415771484</x:v>
      </x:c>
      <x:c r="G144" s="4" t="n">
        <x:v>0.6928068796793619</x:v>
      </x:c>
      <x:c r="H144" s="4" t="n">
        <x:f>IF(OR(D144="",E144=""),"",D144-E144)</x:f>
        <x:v>0.20045034348169966</x:v>
      </x:c>
      <x:c r="I144" s="5" t="n">
        <x:f>IFERROR(H144/D144,"")</x:f>
        <x:v>0.22475371148344256</x:v>
      </x:c>
      <x:c r="J144" s="4" t="n">
        <x:f>IF(OR(D144="",F144=""),"",D144-F144)</x:f>
        <x:v>0.24165342508951826</x:v>
      </x:c>
      <x:c r="K144" s="5" t="n">
        <x:f>IFERROR(J144/D144,"")</x:f>
        <x:v>0.2709524126433528</x:v>
      </x:c>
      <x:c r="L144" s="4" t="n">
        <x:f>IF(OR(E144="",G144=""),"",E144-G144)</x:f>
        <x:v>-0.0013905564943949011</x:v>
      </x:c>
      <x:c r="M144" s="5" t="n">
        <x:f>IFERROR(L144/E144,"")</x:f>
        <x:v>-0.0020111710524700773</x:v>
      </x:c>
      <x:c r="N144" s="4" t="n">
        <x:f>IF(OR(F144="",G144=""),"",F144-G144)</x:f>
        <x:v>-0.042593638102213505</x:v>
      </x:c>
      <x:c r="O144" s="5" t="n">
        <x:f>IFERROR(N144/F144,"")</x:f>
        <x:v>-0.06550718345707472</x:v>
      </x:c>
      <x:c r="P144" t="str">
        <x:v>3 seeds: 0 1 2</x:v>
      </x:c>
      <x:c r="Q144" t="str">
        <x:v>3 seeds: 0 1 2</x:v>
      </x:c>
      <x:c r="R144" t="str">
        <x:v>3 seeds: 0 1 2</x:v>
      </x:c>
      <x:c r="S144" t="str">
        <x:v>3 seeds: 0 1 2</x:v>
      </x:c>
    </x:row>
    <x:row r="145">
      <x:c r="A145" t="str">
        <x:v>MICN</x:v>
      </x:c>
      <x:c r="B145" t="str">
        <x:v>ETTh2</x:v>
      </x:c>
      <x:c r="C145" t="n">
        <x:v>96</x:v>
      </x:c>
      <x:c r="D145" s="4" t="n">
        <x:v>0.19316666666666668</x:v>
      </x:c>
      <x:c r="E145" s="4" t="n">
        <x:v>0.19184347490469614</x:v>
      </x:c>
      <x:c r="F145" s="4" t="n">
        <x:v>0.18941648801167807</x:v>
      </x:c>
      <x:c r="G145" s="4" t="n">
        <x:v>0.19287092487017313</x:v>
      </x:c>
      <x:c r="H145" s="4" t="n">
        <x:f>IF(OR(D145="",E145=""),"",D145-E145)</x:f>
        <x:v>0.0013231917619705436</x:v>
      </x:c>
      <x:c r="I145" s="5" t="n">
        <x:f>IFERROR(H145/D145,"")</x:f>
        <x:v>0.006850000493376411</x:v>
      </x:c>
      <x:c r="J145" s="4" t="n">
        <x:f>IF(OR(D145="",F145=""),"",D145-F145)</x:f>
        <x:v>0.003750178654988612</x:v>
      </x:c>
      <x:c r="K145" s="5" t="n">
        <x:f>IFERROR(J145/D145,"")</x:f>
        <x:v>0.019414212191485477</x:v>
      </x:c>
      <x:c r="L145" s="4" t="n">
        <x:f>IF(OR(E145="",G145=""),"",E145-G145)</x:f>
        <x:v>-0.0010274499654769897</x:v>
      </x:c>
      <x:c r="M145" s="5" t="n">
        <x:f>IFERROR(L145/E145,"")</x:f>
        <x:v>-0.005355668030864253</x:v>
      </x:c>
      <x:c r="N145" s="4" t="n">
        <x:f>IF(OR(F145="",G145=""),"",F145-G145)</x:f>
        <x:v>-0.003454436858495058</x:v>
      </x:c>
      <x:c r="O145" s="5" t="n">
        <x:f>IFERROR(N145/F145,"")</x:f>
        <x:v>-0.01823725534538515</x:v>
      </x:c>
      <x:c r="P145" t="str">
        <x:v>3 seeds: 0 1 2</x:v>
      </x:c>
      <x:c r="Q145" t="str">
        <x:v>3 seeds: 0 1 2</x:v>
      </x:c>
      <x:c r="R145" t="str">
        <x:v>3 seeds: 0 1 2</x:v>
      </x:c>
      <x:c r="S145" t="str">
        <x:v>3 seeds: 0 1 2</x:v>
      </x:c>
    </x:row>
    <x:row r="146">
      <x:c r="A146" t="str">
        <x:v>MICN</x:v>
      </x:c>
      <x:c r="B146" t="str">
        <x:v>ETTh2</x:v>
      </x:c>
      <x:c r="C146" t="n">
        <x:v>192</x:v>
      </x:c>
      <x:c r="D146" s="4" t="n">
        <x:v>0.2413</x:v>
      </x:c>
      <x:c r="E146" s="4" t="n">
        <x:v>0.24708900849024454</x:v>
      </x:c>
      <x:c r="F146" s="4" t="n">
        <x:v>0.2466099113225937</x:v>
      </x:c>
      <x:c r="G146" s="4" t="n">
        <x:v>0.24598835905392966</x:v>
      </x:c>
      <x:c r="H146" s="4" t="n">
        <x:f>IF(OR(D146="",E146=""),"",D146-E146)</x:f>
        <x:v>-0.0057890084902445516</x:v>
      </x:c>
      <x:c r="I146" s="5" t="n">
        <x:f>IFERROR(H146/D146,"")</x:f>
        <x:v>-0.023990917904038758</x:v>
      </x:c>
      <x:c r="J146" s="4" t="n">
        <x:f>IF(OR(D146="",F146=""),"",D146-F146)</x:f>
        <x:v>-0.005309911322593702</x:v>
      </x:c>
      <x:c r="K146" s="5" t="n">
        <x:f>IFERROR(J146/D146,"")</x:f>
        <x:v>-0.022005434407765034</x:v>
      </x:c>
      <x:c r="L146" s="4" t="n">
        <x:f>IF(OR(E146="",G146=""),"",E146-G146)</x:f>
        <x:v>0.0011006494363148822</x:v>
      </x:c>
      <x:c r="M146" s="5" t="n">
        <x:f>IFERROR(L146/E146,"")</x:f>
        <x:v>0.004454465388970702</x:v>
      </x:c>
      <x:c r="N146" s="4" t="n">
        <x:f>IF(OR(F146="",G146=""),"",F146-G146)</x:f>
        <x:v>0.0006215522686640329</x:v>
      </x:c>
      <x:c r="O146" s="5" t="n">
        <x:f>IFERROR(N146/F146,"")</x:f>
        <x:v>0.0025203864083587955</x:v>
      </x:c>
      <x:c r="P146" t="str">
        <x:v>3 seeds: 0 1 2</x:v>
      </x:c>
      <x:c r="Q146" t="str">
        <x:v>3 seeds: 0 1 2</x:v>
      </x:c>
      <x:c r="R146" t="str">
        <x:v>3 seeds: 0 1 2</x:v>
      </x:c>
      <x:c r="S146" t="str">
        <x:v>3 seeds: 0 1 2</x:v>
      </x:c>
    </x:row>
    <x:row r="147">
      <x:c r="A147" t="str">
        <x:v>MICN</x:v>
      </x:c>
      <x:c r="B147" t="str">
        <x:v>ETTh2</x:v>
      </x:c>
      <x:c r="C147" t="n">
        <x:v>336</x:v>
      </x:c>
      <x:c r="D147" s="4" t="n">
        <x:v>0.28153333333333336</x:v>
      </x:c>
      <x:c r="E147" s="4" t="n">
        <x:v>0.27039098739624023</x:v>
      </x:c>
      <x:c r="F147" s="4" t="n">
        <x:v>0.27799585461616516</x:v>
      </x:c>
      <x:c r="G147" s="4" t="n">
        <x:v>0.2770679493745168</x:v>
      </x:c>
      <x:c r="H147" s="4" t="n">
        <x:f>IF(OR(D147="",E147=""),"",D147-E147)</x:f>
        <x:v>0.011142345937093123</x:v>
      </x:c>
      <x:c r="I147" s="5" t="n">
        <x:f>IFERROR(H147/D147,"")</x:f>
        <x:v>0.03957735947345414</x:v>
      </x:c>
      <x:c r="J147" s="4" t="n">
        <x:f>IF(OR(D147="",F147=""),"",D147-F147)</x:f>
        <x:v>0.0035374787171681965</x:v>
      </x:c>
      <x:c r="K147" s="5" t="n">
        <x:f>IFERROR(J147/D147,"")</x:f>
        <x:v>0.012565043987099915</x:v>
      </x:c>
      <x:c r="L147" s="4" t="n">
        <x:f>IF(OR(E147="",G147=""),"",E147-G147)</x:f>
        <x:v>-0.006676961978276552</x:v>
      </x:c>
      <x:c r="M147" s="5" t="n">
        <x:f>IFERROR(L147/E147,"")</x:f>
        <x:v>-0.024693729782094782</x:v>
      </x:c>
      <x:c r="N147" s="4" t="n">
        <x:f>IF(OR(F147="",G147=""),"",F147-G147)</x:f>
        <x:v>0.0009279052416483746</x:v>
      </x:c>
      <x:c r="O147" s="5" t="n">
        <x:f>IFERROR(N147/F147,"")</x:f>
        <x:v>0.0033378384110423274</x:v>
      </x:c>
      <x:c r="P147" t="str">
        <x:v>3 seeds: 0 1 2</x:v>
      </x:c>
      <x:c r="Q147" t="str">
        <x:v>3 seeds: 0 1 2</x:v>
      </x:c>
      <x:c r="R147" t="str">
        <x:v>3 seeds: 0 1 2</x:v>
      </x:c>
      <x:c r="S147" t="str">
        <x:v>3 seeds: 0 1 2</x:v>
      </x:c>
    </x:row>
    <x:row r="148">
      <x:c r="A148" t="str">
        <x:v>MICN</x:v>
      </x:c>
      <x:c r="B148" t="str">
        <x:v>ETTh2</x:v>
      </x:c>
      <x:c r="C148" t="n">
        <x:v>720</x:v>
      </x:c>
      <x:c r="D148" s="4" t="n">
        <x:v>0.3688</x:v>
      </x:c>
      <x:c r="E148" s="4" t="n">
        <x:v>0.3187773923079173</x:v>
      </x:c>
      <x:c r="F148" s="4" t="n">
        <x:v>0.3227624297142029</x:v>
      </x:c>
      <x:c r="G148" s="4" t="n">
        <x:v>0.3181272049744924</x:v>
      </x:c>
      <x:c r="H148" s="4" t="n">
        <x:f>IF(OR(D148="",E148=""),"",D148-E148)</x:f>
        <x:v>0.05002260769208272</x:v>
      </x:c>
      <x:c r="I148" s="5" t="n">
        <x:f>IFERROR(H148/D148,"")</x:f>
        <x:v>0.1356361379937167</x:v>
      </x:c>
      <x:c r="J148" s="4" t="n">
        <x:f>IF(OR(D148="",F148=""),"",D148-F148)</x:f>
        <x:v>0.046037570285797136</x:v>
      </x:c>
      <x:c r="K148" s="5" t="n">
        <x:f>IFERROR(J148/D148,"")</x:f>
        <x:v>0.1248307220330725</x:v>
      </x:c>
      <x:c r="L148" s="4" t="n">
        <x:f>IF(OR(E148="",G148=""),"",E148-G148)</x:f>
        <x:v>0.0006501873334249231</x:v>
      </x:c>
      <x:c r="M148" s="5" t="n">
        <x:f>IFERROR(L148/E148,"")</x:f>
        <x:v>0.002039628120167588</x:v>
      </x:c>
      <x:c r="N148" s="4" t="n">
        <x:f>IF(OR(F148="",G148=""),"",F148-G148)</x:f>
        <x:v>0.004635224739710508</x:v>
      </x:c>
      <x:c r="O148" s="5" t="n">
        <x:f>IFERROR(N148/F148,"")</x:f>
        <x:v>0.01436110374994658</x:v>
      </x:c>
      <x:c r="P148" t="str">
        <x:v>3 seeds: 0 1 2</x:v>
      </x:c>
      <x:c r="Q148" t="str">
        <x:v>3 seeds: 0 1 2</x:v>
      </x:c>
      <x:c r="R148" t="str">
        <x:v>3 seeds: 0 1 2</x:v>
      </x:c>
      <x:c r="S148" t="str">
        <x:v>3 seeds: 0 1 2</x:v>
      </x:c>
    </x:row>
    <x:row r="149">
      <x:c r="A149" t="str">
        <x:v>MICN</x:v>
      </x:c>
      <x:c r="B149" t="str">
        <x:v>ETTm1</x:v>
      </x:c>
      <x:c r="C149" t="n">
        <x:v>96</x:v>
      </x:c>
      <x:c r="D149" s="4" t="n">
        <x:v>0.4381</x:v>
      </x:c>
      <x:c r="E149" s="4" t="n">
        <x:v>0.3951546549797058</x:v>
      </x:c>
      <x:c r="F149" s="4" t="n">
        <x:v>0.3921038607756297</x:v>
      </x:c>
      <x:c r="G149" s="4" t="n">
        <x:v>0.3722110986709595</x:v>
      </x:c>
      <x:c r="H149" s="4" t="n">
        <x:f>IF(OR(D149="",E149=""),"",D149-E149)</x:f>
        <x:v>0.04294534502029418</x:v>
      </x:c>
      <x:c r="I149" s="5" t="n">
        <x:f>IFERROR(H149/D149,"")</x:f>
        <x:v>0.09802635247727501</x:v>
      </x:c>
      <x:c r="J149" s="4" t="n">
        <x:f>IF(OR(D149="",F149=""),"",D149-F149)</x:f>
        <x:v>0.04599613922437029</x:v>
      </x:c>
      <x:c r="K149" s="5" t="n">
        <x:f>IFERROR(J149/D149,"")</x:f>
        <x:v>0.10499004616382171</x:v>
      </x:c>
      <x:c r="L149" s="4" t="n">
        <x:f>IF(OR(E149="",G149=""),"",E149-G149)</x:f>
        <x:v>0.022943556308746338</x:v>
      </x:c>
      <x:c r="M149" s="5" t="n">
        <x:f>IFERROR(L149/E149,"")</x:f>
        <x:v>0.0580622194870124</x:v>
      </x:c>
      <x:c r="N149" s="4" t="n">
        <x:f>IF(OR(F149="",G149=""),"",F149-G149)</x:f>
        <x:v>0.019892762104670225</x:v>
      </x:c>
      <x:c r="O149" s="5" t="n">
        <x:f>IFERROR(N149/F149,"")</x:f>
        <x:v>0.05073340024074206</x:v>
      </x:c>
      <x:c r="P149" t="str">
        <x:v>3 seeds: 0 1 2</x:v>
      </x:c>
      <x:c r="Q149" t="str">
        <x:v>3 seeds: 0 1 2</x:v>
      </x:c>
      <x:c r="R149" t="str">
        <x:v>3 seeds: 0 1 2</x:v>
      </x:c>
      <x:c r="S149" t="str">
        <x:v>3 seeds: 0 1 2</x:v>
      </x:c>
    </x:row>
    <x:row r="150">
      <x:c r="A150" t="str">
        <x:v>MICN</x:v>
      </x:c>
      <x:c r="B150" t="str">
        <x:v>ETTm1</x:v>
      </x:c>
      <x:c r="C150" t="n">
        <x:v>192</x:v>
      </x:c>
      <x:c r="D150" s="4" t="n">
        <x:v>0.49393333333333334</x:v>
      </x:c>
      <x:c r="E150" s="4" t="n">
        <x:v>0.47061283389727276</x:v>
      </x:c>
      <x:c r="F150" s="4" t="n">
        <x:v>0.46068646510442096</x:v>
      </x:c>
      <x:c r="G150" s="4" t="n">
        <x:v>0.44295592109362286</x:v>
      </x:c>
      <x:c r="H150" s="4" t="n">
        <x:f>IF(OR(D150="",E150=""),"",D150-E150)</x:f>
        <x:v>0.02332049943606057</x:v>
      </x:c>
      <x:c r="I150" s="5" t="n">
        <x:f>IFERROR(H150/D150,"")</x:f>
        <x:v>0.04721386037804138</x:v>
      </x:c>
      <x:c r="J150" s="4" t="n">
        <x:f>IF(OR(D150="",F150=""),"",D150-F150)</x:f>
        <x:v>0.033246868228912374</x:v>
      </x:c>
      <x:c r="K150" s="5" t="n">
        <x:f>IFERROR(J150/D150,"")</x:f>
        <x:v>0.06731043641971732</x:v>
      </x:c>
      <x:c r="L150" s="4" t="n">
        <x:f>IF(OR(E150="",G150=""),"",E150-G150)</x:f>
        <x:v>0.027656912803649902</x:v>
      </x:c>
      <x:c r="M150" s="5" t="n">
        <x:f>IFERROR(L150/E150,"")</x:f>
        <x:v>0.05876786779190761</x:v>
      </x:c>
      <x:c r="N150" s="4" t="n">
        <x:f>IF(OR(F150="",G150=""),"",F150-G150)</x:f>
        <x:v>0.0177305440107981</x:v>
      </x:c>
      <x:c r="O150" s="5" t="n">
        <x:f>IFERROR(N150/F150,"")</x:f>
        <x:v>0.03848722581154892</x:v>
      </x:c>
      <x:c r="P150" t="str">
        <x:v>3 seeds: 0 1 2</x:v>
      </x:c>
      <x:c r="Q150" t="str">
        <x:v>3 seeds: 0 1 2</x:v>
      </x:c>
      <x:c r="R150" t="str">
        <x:v>3 seeds: 0 1 2</x:v>
      </x:c>
      <x:c r="S150" t="str">
        <x:v>3 seeds: 0 1 2</x:v>
      </x:c>
    </x:row>
    <x:row r="151">
      <x:c r="A151" t="str">
        <x:v>MICN</x:v>
      </x:c>
      <x:c r="B151" t="str">
        <x:v>ETTm1</x:v>
      </x:c>
      <x:c r="C151" t="n">
        <x:v>336</x:v>
      </x:c>
      <x:c r="D151" s="4" t="n">
        <x:v>0.5544333333333333</x:v>
      </x:c>
      <x:c r="E151" s="4" t="n">
        <x:v>0.5430137316385905</x:v>
      </x:c>
      <x:c r="F151" s="4" t="n">
        <x:v>0.5428374210993449</x:v>
      </x:c>
      <x:c r="G151" s="4" t="n">
        <x:v>0.5088350772857666</x:v>
      </x:c>
      <x:c r="H151" s="4" t="n">
        <x:f>IF(OR(D151="",E151=""),"",D151-E151)</x:f>
        <x:v>0.011419601694742876</x:v>
      </x:c>
      <x:c r="I151" s="5" t="n">
        <x:f>IFERROR(H151/D151,"")</x:f>
        <x:v>0.02059688876584418</x:v>
      </x:c>
      <x:c r="J151" s="4" t="n">
        <x:f>IF(OR(D151="",F151=""),"",D151-F151)</x:f>
        <x:v>0.011595912233988481</x:v>
      </x:c>
      <x:c r="K151" s="5" t="n">
        <x:f>IFERROR(J151/D151,"")</x:f>
        <x:v>0.020914890099179607</x:v>
      </x:c>
      <x:c r="L151" s="4" t="n">
        <x:f>IF(OR(E151="",G151=""),"",E151-G151)</x:f>
        <x:v>0.034178654352823856</x:v>
      </x:c>
      <x:c r="M151" s="5" t="n">
        <x:f>IFERROR(L151/E151,"")</x:f>
        <x:v>0.06294252311021092</x:v>
      </x:c>
      <x:c r="N151" s="4" t="n">
        <x:f>IF(OR(F151="",G151=""),"",F151-G151)</x:f>
        <x:v>0.03400234381357825</x:v>
      </x:c>
      <x:c r="O151" s="5" t="n">
        <x:f>IFERROR(N151/F151,"")</x:f>
        <x:v>0.06263817211554298</x:v>
      </x:c>
      <x:c r="P151" t="str">
        <x:v>3 seeds: 0 1 2</x:v>
      </x:c>
      <x:c r="Q151" t="str">
        <x:v>3 seeds: 0 1 2</x:v>
      </x:c>
      <x:c r="R151" t="str">
        <x:v>3 seeds: 0 1 2</x:v>
      </x:c>
      <x:c r="S151" t="str">
        <x:v>3 seeds: 0 1 2</x:v>
      </x:c>
    </x:row>
    <x:row r="152">
      <x:c r="A152" t="str">
        <x:v>MICN</x:v>
      </x:c>
      <x:c r="B152" t="str">
        <x:v>ETTm1</x:v>
      </x:c>
      <x:c r="C152" t="n">
        <x:v>720</x:v>
      </x:c>
      <x:c r="D152" s="4" t="n">
        <x:v>0.6315666666666666</x:v>
      </x:c>
      <x:c r="E152" s="4" t="n">
        <x:v>0.5779280861218771</x:v>
      </x:c>
      <x:c r="F152" s="4" t="n">
        <x:v>0.6151350140571594</x:v>
      </x:c>
      <x:c r="G152" s="4" t="n">
        <x:v>0.5502469142278036</x:v>
      </x:c>
      <x:c r="H152" s="4" t="n">
        <x:f>IF(OR(D152="",E152=""),"",D152-E152)</x:f>
        <x:v>0.05363858054478954</x:v>
      </x:c>
      <x:c r="I152" s="5" t="n">
        <x:f>IFERROR(H152/D152,"")</x:f>
        <x:v>0.08492940393432662</x:v>
      </x:c>
      <x:c r="J152" s="4" t="n">
        <x:f>IF(OR(D152="",F152=""),"",D152-F152)</x:f>
        <x:v>0.016431652609507186</x:v>
      </x:c>
      <x:c r="K152" s="5" t="n">
        <x:f>IFERROR(J152/D152,"")</x:f>
        <x:v>0.026017289190120634</x:v>
      </x:c>
      <x:c r="L152" s="4" t="n">
        <x:f>IF(OR(E152="",G152=""),"",E152-G152)</x:f>
        <x:v>0.027681171894073486</x:v>
      </x:c>
      <x:c r="M152" s="5" t="n">
        <x:f>IFERROR(L152/E152,"")</x:f>
        <x:v>0.04789726015882867</x:v>
      </x:c>
      <x:c r="N152" s="4" t="n">
        <x:f>IF(OR(F152="",G152=""),"",F152-G152)</x:f>
        <x:v>0.06488809982935584</x:v>
      </x:c>
      <x:c r="O152" s="5" t="n">
        <x:f>IFERROR(N152/F152,"")</x:f>
        <x:v>0.10548594755057517</x:v>
      </x:c>
      <x:c r="P152" t="str">
        <x:v>3 seeds: 0 1 2</x:v>
      </x:c>
      <x:c r="Q152" t="str">
        <x:v>3 seeds: 0 1 2</x:v>
      </x:c>
      <x:c r="R152" t="str">
        <x:v>3 seeds: 0 1 2</x:v>
      </x:c>
      <x:c r="S152" t="str">
        <x:v>3 seeds: 0 1 2</x:v>
      </x:c>
    </x:row>
    <x:row r="153">
      <x:c r="A153" t="str">
        <x:v>MICN</x:v>
      </x:c>
      <x:c r="B153" t="str">
        <x:v>ETTm2</x:v>
      </x:c>
      <x:c r="C153" t="n">
        <x:v>96</x:v>
      </x:c>
      <x:c r="D153" s="4" t="n">
        <x:v>0.12556666666666666</x:v>
      </x:c>
      <x:c r="E153" s="4" t="n">
        <x:v>0.1303348789612452</x:v>
      </x:c>
      <x:c r="F153" s="4" t="n">
        <x:v>0.12916086117426553</x:v>
      </x:c>
      <x:c r="G153" s="4" t="n">
        <x:v>0.1269521564245224</x:v>
      </x:c>
      <x:c r="H153" s="4" t="n">
        <x:f>IF(OR(D153="",E153=""),"",D153-E153)</x:f>
        <x:v>-0.00476821229457855</x:v>
      </x:c>
      <x:c r="I153" s="5" t="n">
        <x:f>IFERROR(H153/D153,"")</x:f>
        <x:v>-0.03797355158942302</x:v>
      </x:c>
      <x:c r="J153" s="4" t="n">
        <x:f>IF(OR(D153="",F153=""),"",D153-F153)</x:f>
        <x:v>-0.0035941945075988746</x:v>
      </x:c>
      <x:c r="K153" s="5" t="n">
        <x:f>IFERROR(J153/D153,"")</x:f>
        <x:v>-0.028623794857437282</x:v>
      </x:c>
      <x:c r="L153" s="4" t="n">
        <x:f>IF(OR(E153="",G153=""),"",E153-G153)</x:f>
        <x:v>0.0033827225367228098</x:v>
      </x:c>
      <x:c r="M153" s="5" t="n">
        <x:f>IFERROR(L153/E153,"")</x:f>
        <x:v>0.025954085074407864</x:v>
      </x:c>
      <x:c r="N153" s="4" t="n">
        <x:f>IF(OR(F153="",G153=""),"",F153-G153)</x:f>
        <x:v>0.0022087047497431345</x:v>
      </x:c>
      <x:c r="O153" s="5" t="n">
        <x:f>IFERROR(N153/F153,"")</x:f>
        <x:v>0.01710041826651435</x:v>
      </x:c>
      <x:c r="P153" t="str">
        <x:v>3 seeds: 0 1 2</x:v>
      </x:c>
      <x:c r="Q153" t="str">
        <x:v>3 seeds: 0 1 2</x:v>
      </x:c>
      <x:c r="R153" t="str">
        <x:v>3 seeds: 0 1 2</x:v>
      </x:c>
      <x:c r="S153" t="str">
        <x:v>3 seeds: 0 1 2</x:v>
      </x:c>
    </x:row>
    <x:row r="154">
      <x:c r="A154" t="str">
        <x:v>MICN</x:v>
      </x:c>
      <x:c r="B154" t="str">
        <x:v>ETTm2</x:v>
      </x:c>
      <x:c r="C154" t="n">
        <x:v>192</x:v>
      </x:c>
      <x:c r="D154" s="4" t="n">
        <x:v>0.16096666666666667</x:v>
      </x:c>
      <x:c r="E154" s="4" t="n">
        <x:v>0.174891064564387</x:v>
      </x:c>
      <x:c r="F154" s="4" t="n">
        <x:v>0.16677908599376678</x:v>
      </x:c>
      <x:c r="G154" s="4" t="n">
        <x:v>0.16440797845522562</x:v>
      </x:c>
      <x:c r="H154" s="4" t="n">
        <x:f>IF(OR(D154="",E154=""),"",D154-E154)</x:f>
        <x:v>-0.01392439789772032</x:v>
      </x:c>
      <x:c r="I154" s="5" t="n">
        <x:f>IFERROR(H154/D154,"")</x:f>
        <x:v>-0.08650485337163172</x:v>
      </x:c>
      <x:c r="J154" s="4" t="n">
        <x:f>IF(OR(D154="",F154=""),"",D154-F154)</x:f>
        <x:v>-0.00581241932710011</x:v>
      </x:c>
      <x:c r="K154" s="5" t="n">
        <x:f>IFERROR(J154/D154,"")</x:f>
        <x:v>-0.03610945947670394</x:v>
      </x:c>
      <x:c r="L154" s="4" t="n">
        <x:f>IF(OR(E154="",G154=""),"",E154-G154)</x:f>
        <x:v>0.010483086109161377</x:v>
      </x:c>
      <x:c r="M154" s="5" t="n">
        <x:f>IFERROR(L154/E154,"")</x:f>
        <x:v>0.05994066154993286</x:v>
      </x:c>
      <x:c r="N154" s="4" t="n">
        <x:f>IF(OR(F154="",G154=""),"",F154-G154)</x:f>
        <x:v>0.0023711075385411673</x:v>
      </x:c>
      <x:c r="O154" s="5" t="n">
        <x:f>IFERROR(N154/F154,"")</x:f>
        <x:v>0.014217055600303417</x:v>
      </x:c>
      <x:c r="P154" t="str">
        <x:v>3 seeds: 0 1 2</x:v>
      </x:c>
      <x:c r="Q154" t="str">
        <x:v>3 seeds: 0 1 2</x:v>
      </x:c>
      <x:c r="R154" t="str">
        <x:v>3 seeds: 0 1 2</x:v>
      </x:c>
      <x:c r="S154" t="str">
        <x:v>3 seeds: 0 1 2</x:v>
      </x:c>
    </x:row>
    <x:row r="155">
      <x:c r="A155" t="str">
        <x:v>MICN</x:v>
      </x:c>
      <x:c r="B155" t="str">
        <x:v>ETTm2</x:v>
      </x:c>
      <x:c r="C155" t="n">
        <x:v>336</x:v>
      </x:c>
      <x:c r="D155" s="4" t="n">
        <x:v>0.20206666666666667</x:v>
      </x:c>
      <x:c r="E155" s="4" t="n">
        <x:v>0.2154349982738495</x:v>
      </x:c>
      <x:c r="F155" s="4" t="n">
        <x:v>0.21278460820515951</x:v>
      </x:c>
      <x:c r="G155" s="4" t="n">
        <x:v>0.18497327466805777</x:v>
      </x:c>
      <x:c r="H155" s="4" t="n">
        <x:f>IF(OR(D155="",E155=""),"",D155-E155)</x:f>
        <x:v>-0.013368331607182815</x:v>
      </x:c>
      <x:c r="I155" s="5" t="n">
        <x:f>IFERROR(H155/D155,"")</x:f>
        <x:v>-0.06615802510977968</x:v>
      </x:c>
      <x:c r="J155" s="4" t="n">
        <x:f>IF(OR(D155="",F155=""),"",D155-F155)</x:f>
        <x:v>-0.010717941538492842</x:v>
      </x:c>
      <x:c r="K155" s="5" t="n">
        <x:f>IFERROR(J155/D155,"")</x:f>
        <x:v>-0.053041611044999215</x:v>
      </x:c>
      <x:c r="L155" s="4" t="n">
        <x:f>IF(OR(E155="",G155=""),"",E155-G155)</x:f>
        <x:v>0.03046172360579172</x:v>
      </x:c>
      <x:c r="M155" s="5" t="n">
        <x:f>IFERROR(L155/E155,"")</x:f>
        <x:v>0.14139635551262844</x:v>
      </x:c>
      <x:c r="N155" s="4" t="n">
        <x:f>IF(OR(F155="",G155=""),"",F155-G155)</x:f>
        <x:v>0.027811333537101746</x:v>
      </x:c>
      <x:c r="O155" s="5" t="n">
        <x:f>IFERROR(N155/F155,"")</x:f>
        <x:v>0.1307018104913257</x:v>
      </x:c>
      <x:c r="P155" t="str">
        <x:v>3 seeds: 0 1 2</x:v>
      </x:c>
      <x:c r="Q155" t="str">
        <x:v>3 seeds: 0 1 2</x:v>
      </x:c>
      <x:c r="R155" t="str">
        <x:v>3 seeds: 0 1 2</x:v>
      </x:c>
      <x:c r="S155" t="str">
        <x:v>3 seeds: 0 1 2</x:v>
      </x:c>
    </x:row>
    <x:row r="156">
      <x:c r="A156" t="str">
        <x:v>MICN</x:v>
      </x:c>
      <x:c r="B156" t="str">
        <x:v>ETTm2</x:v>
      </x:c>
      <x:c r="C156" t="n">
        <x:v>720</x:v>
      </x:c>
      <x:c r="D156" s="4" t="n">
        <x:v>0.26056666666666667</x:v>
      </x:c>
      <x:c r="E156" s="4" t="n">
        <x:v>0.24465498824914297</x:v>
      </x:c>
      <x:c r="F156" s="4" t="n">
        <x:v>0.2687795062859853</x:v>
      </x:c>
      <x:c r="G156" s="4" t="n">
        <x:v>0.20328092078367868</x:v>
      </x:c>
      <x:c r="H156" s="4" t="n">
        <x:f>IF(OR(D156="",E156=""),"",D156-E156)</x:f>
        <x:v>0.015911678417523695</x:v>
      </x:c>
      <x:c r="I156" s="5" t="n">
        <x:f>IFERROR(H156/D156,"")</x:f>
        <x:v>0.06106567129662413</x:v>
      </x:c>
      <x:c r="J156" s="4" t="n">
        <x:f>IF(OR(D156="",F156=""),"",D156-F156)</x:f>
        <x:v>-0.008212839619318624</x:v>
      </x:c>
      <x:c r="K156" s="5" t="n">
        <x:f>IFERROR(J156/D156,"")</x:f>
        <x:v>-0.03151914910829714</x:v>
      </x:c>
      <x:c r="L156" s="4" t="n">
        <x:f>IF(OR(E156="",G156=""),"",E156-G156)</x:f>
        <x:v>0.04137406746546429</x:v>
      </x:c>
      <x:c r="M156" s="5" t="n">
        <x:f>IFERROR(L156/E156,"")</x:f>
        <x:v>0.16911189001930854</x:v>
      </x:c>
      <x:c r="N156" s="4" t="n">
        <x:f>IF(OR(F156="",G156=""),"",F156-G156)</x:f>
        <x:v>0.06549858550230661</x:v>
      </x:c>
      <x:c r="O156" s="5" t="n">
        <x:f>IFERROR(N156/F156,"")</x:f>
        <x:v>0.24368891217701386</x:v>
      </x:c>
      <x:c r="P156" t="str">
        <x:v>3 seeds: 0 1 2</x:v>
      </x:c>
      <x:c r="Q156" t="str">
        <x:v>3 seeds: 0 1 2</x:v>
      </x:c>
      <x:c r="R156" t="str">
        <x:v>3 seeds: 0 1 2</x:v>
      </x:c>
      <x:c r="S156" t="str">
        <x:v>3 seeds: 0 1 2</x:v>
      </x:c>
    </x:row>
    <x:row r="157">
      <x:c r="A157" t="str">
        <x:v>MICN</x:v>
      </x:c>
      <x:c r="B157" t="str">
        <x:v>Exchange Rate</x:v>
      </x:c>
      <x:c r="C157" t="n">
        <x:v>96</x:v>
      </x:c>
      <x:c r="D157" s="4" t="n">
        <x:v>0.1022</x:v>
      </x:c>
      <x:c r="E157" s="4" t="n">
        <x:v>0.0992131878932317</x:v>
      </x:c>
      <x:c r="F157" s="4" t="n">
        <x:v>0.09780034174521764</x:v>
      </x:c>
      <x:c r="G157" s="4" t="n">
        <x:v>0.09961241732041042</x:v>
      </x:c>
      <x:c r="H157" s="4" t="n">
        <x:f>IF(OR(D157="",E157=""),"",D157-E157)</x:f>
        <x:v>0.002986812106768294</x:v>
      </x:c>
      <x:c r="I157" s="5" t="n">
        <x:f>IFERROR(H157/D157,"")</x:f>
        <x:v>0.029225167385208358</x:v>
      </x:c>
      <x:c r="J157" s="4" t="n">
        <x:f>IF(OR(D157="",F157=""),"",D157-F157)</x:f>
        <x:v>0.004399658254782363</x:v>
      </x:c>
      <x:c r="K157" s="5" t="n">
        <x:f>IFERROR(J157/D157,"")</x:f>
        <x:v>0.04304949368671588</x:v>
      </x:c>
      <x:c r="L157" s="4" t="n">
        <x:f>IF(OR(E157="",G157=""),"",E157-G157)</x:f>
        <x:v>-0.00039922942717871</x:v>
      </x:c>
      <x:c r="M157" s="5" t="n">
        <x:f>IFERROR(L157/E157,"")</x:f>
        <x:v>-0.004023955238776733</x:v>
      </x:c>
      <x:c r="N157" s="4" t="n">
        <x:f>IF(OR(F157="",G157=""),"",F157-G157)</x:f>
        <x:v>-0.0018120755751927786</x:v>
      </x:c>
      <x:c r="O157" s="5" t="n">
        <x:f>IFERROR(N157/F157,"")</x:f>
        <x:v>-0.01852831537044591</x:v>
      </x:c>
      <x:c r="P157" t="str">
        <x:v>3 seeds: 0 1 2</x:v>
      </x:c>
      <x:c r="Q157" t="str">
        <x:v>3 seeds: 0 1 2</x:v>
      </x:c>
      <x:c r="R157" t="str">
        <x:v>3 seeds: 0 1 2</x:v>
      </x:c>
      <x:c r="S157" t="str">
        <x:v>3 seeds: 0 1 2</x:v>
      </x:c>
    </x:row>
    <x:row r="158">
      <x:c r="A158" t="str">
        <x:v>MICN</x:v>
      </x:c>
      <x:c r="B158" t="str">
        <x:v>Exchange Rate</x:v>
      </x:c>
      <x:c r="C158" t="n">
        <x:v>192</x:v>
      </x:c>
      <x:c r="D158" s="4" t="n">
        <x:v>0.21276666666666666</x:v>
      </x:c>
      <x:c r="E158" s="4" t="n">
        <x:v>0.18105116983254751</x:v>
      </x:c>
      <x:c r="F158" s="4" t="n">
        <x:v>0.18832676112651825</x:v>
      </x:c>
      <x:c r="G158" s="4" t="n">
        <x:v>0.1748161862293879</x:v>
      </x:c>
      <x:c r="H158" s="4" t="n">
        <x:f>IF(OR(D158="",E158=""),"",D158-E158)</x:f>
        <x:v>0.031715496834119145</x:v>
      </x:c>
      <x:c r="I158" s="5" t="n">
        <x:f>IFERROR(H158/D158,"")</x:f>
        <x:v>0.14906233824589918</x:v>
      </x:c>
      <x:c r="J158" s="4" t="n">
        <x:f>IF(OR(D158="",F158=""),"",D158-F158)</x:f>
        <x:v>0.02443990554014841</x:v>
      </x:c>
      <x:c r="K158" s="5" t="n">
        <x:f>IFERROR(J158/D158,"")</x:f>
        <x:v>0.11486717314812037</x:v>
      </x:c>
      <x:c r="L158" s="4" t="n">
        <x:f>IF(OR(E158="",G158=""),"",E158-G158)</x:f>
        <x:v>0.006234983603159605</x:v>
      </x:c>
      <x:c r="M158" s="5" t="n">
        <x:f>IFERROR(L158/E158,"")</x:f>
        <x:v>0.03443768747214548</x:v>
      </x:c>
      <x:c r="N158" s="4" t="n">
        <x:f>IF(OR(F158="",G158=""),"",F158-G158)</x:f>
        <x:v>0.01351057489713034</x:v>
      </x:c>
      <x:c r="O158" s="5" t="n">
        <x:f>IFERROR(N158/F158,"")</x:f>
        <x:v>0.07174006931523615</x:v>
      </x:c>
      <x:c r="P158" t="str">
        <x:v>3 seeds: 0 1 2</x:v>
      </x:c>
      <x:c r="Q158" t="str">
        <x:v>3 seeds: 0 1 2</x:v>
      </x:c>
      <x:c r="R158" t="str">
        <x:v>3 seeds: 0 1 2</x:v>
      </x:c>
      <x:c r="S158" t="str">
        <x:v>3 seeds: 0 1 2</x:v>
      </x:c>
    </x:row>
    <x:row r="159">
      <x:c r="A159" t="str">
        <x:v>MICN</x:v>
      </x:c>
      <x:c r="B159" t="str">
        <x:v>Exchange Rate</x:v>
      </x:c>
      <x:c r="C159" t="n">
        <x:v>336</x:v>
      </x:c>
      <x:c r="D159" s="4" t="n">
        <x:v>0.36293333333333333</x:v>
      </x:c>
      <x:c r="E159" s="4" t="n">
        <x:v>0.24907074371973673</x:v>
      </x:c>
      <x:c r="F159" s="4" t="n">
        <x:v>0.3107632597287496</x:v>
      </x:c>
      <x:c r="G159" s="4" t="n">
        <x:v>0.24237175285816193</x:v>
      </x:c>
      <x:c r="H159" s="4" t="n">
        <x:f>IF(OR(D159="",E159=""),"",D159-E159)</x:f>
        <x:v>0.1138625896135966</x:v>
      </x:c>
      <x:c r="I159" s="5" t="n">
        <x:f>IFERROR(H159/D159,"")</x:f>
        <x:v>0.3137286635201964</x:v>
      </x:c>
      <x:c r="J159" s="4" t="n">
        <x:f>IF(OR(D159="",F159=""),"",D159-F159)</x:f>
        <x:v>0.052170073604583755</x:v>
      </x:c>
      <x:c r="K159" s="5" t="n">
        <x:f>IFERROR(J159/D159,"")</x:f>
        <x:v>0.1437456105930853</x:v>
      </x:c>
      <x:c r="L159" s="4" t="n">
        <x:f>IF(OR(E159="",G159=""),"",E159-G159)</x:f>
        <x:v>0.0066989908615747995</x:v>
      </x:c>
      <x:c r="M159" s="5" t="n">
        <x:f>IFERROR(L159/E159,"")</x:f>
        <x:v>0.02689593631724464</x:v>
      </x:c>
      <x:c r="N159" s="4" t="n">
        <x:f>IF(OR(F159="",G159=""),"",F159-G159)</x:f>
        <x:v>0.06839150687058765</x:v>
      </x:c>
      <x:c r="O159" s="5" t="n">
        <x:f>IFERROR(N159/F159,"")</x:f>
        <x:v>0.2200759090063714</x:v>
      </x:c>
      <x:c r="P159" t="str">
        <x:v>3 seeds: 0 1 2</x:v>
      </x:c>
      <x:c r="Q159" t="str">
        <x:v>3 seeds: 0 1 2</x:v>
      </x:c>
      <x:c r="R159" t="str">
        <x:v>3 seeds: 0 1 2</x:v>
      </x:c>
      <x:c r="S159" t="str">
        <x:v>3 seeds: 0 1 2</x:v>
      </x:c>
    </x:row>
    <x:row r="160">
      <x:c r="A160" t="str">
        <x:v>MICN</x:v>
      </x:c>
      <x:c r="B160" t="str">
        <x:v>Exchange Rate</x:v>
      </x:c>
      <x:c r="C160" t="n">
        <x:v>720</x:v>
      </x:c>
      <x:c r="D160" s="4" t="n">
        <x:v>1.3852666666666666</x:v>
      </x:c>
      <x:c r="E160" s="4" t="n">
        <x:v>0.5924359957377116</x:v>
      </x:c>
      <x:c r="F160" s="4" t="n">
        <x:v>0.8958103259404501</x:v>
      </x:c>
      <x:c r="G160" s="4" t="n">
        <x:v>0.6371023654937744</x:v>
      </x:c>
      <x:c r="H160" s="4" t="n">
        <x:f>IF(OR(D160="",E160=""),"",D160-E160)</x:f>
        <x:v>0.7928306709289551</x:v>
      </x:c>
      <x:c r="I160" s="5" t="n">
        <x:f>IFERROR(H160/D160,"")</x:f>
        <x:v>0.5723307215907564</x:v>
      </x:c>
      <x:c r="J160" s="4" t="n">
        <x:f>IF(OR(D160="",F160=""),"",D160-F160)</x:f>
        <x:v>0.4894563407262166</x:v>
      </x:c>
      <x:c r="K160" s="5" t="n">
        <x:f>IFERROR(J160/D160,"")</x:f>
        <x:v>0.35333005009351987</x:v>
      </x:c>
      <x:c r="L160" s="4" t="n">
        <x:f>IF(OR(E160="",G160=""),"",E160-G160)</x:f>
        <x:v>-0.04466636975606286</x:v>
      </x:c>
      <x:c r="M160" s="5" t="n">
        <x:f>IFERROR(L160/E160,"")</x:f>
        <x:v>-0.0753944224817797</x:v>
      </x:c>
      <x:c r="N160" s="4" t="n">
        <x:f>IF(OR(F160="",G160=""),"",F160-G160)</x:f>
        <x:v>0.25870796044667566</x:v>
      </x:c>
      <x:c r="O160" s="5" t="n">
        <x:f>IFERROR(N160/F160,"")</x:f>
        <x:v>0.28879769852516024</x:v>
      </x:c>
      <x:c r="P160" t="str">
        <x:v>3 seeds: 0 1 2</x:v>
      </x:c>
      <x:c r="Q160" t="str">
        <x:v>3 seeds: 0 1 2</x:v>
      </x:c>
      <x:c r="R160" t="str">
        <x:v>3 seeds: 0 1 2</x:v>
      </x:c>
      <x:c r="S160" t="str">
        <x:v>3 seeds: 0 1 2</x:v>
      </x:c>
    </x:row>
    <x:row r="161">
      <x:c r="A161" t="str">
        <x:v>MICN</x:v>
      </x:c>
      <x:c r="B161" t="str">
        <x:v>weather</x:v>
      </x:c>
      <x:c r="C161" t="n">
        <x:v>96</x:v>
      </x:c>
      <x:c r="D161" s="4" t="n">
        <x:v>0.17300000000000001</x:v>
      </x:c>
      <x:c r="E161" s="4" t="n">
        <x:v>0.1703042984008789</x:v>
      </x:c>
      <x:c r="F161" s="4" t="n">
        <x:v>0.1690617005030314</x:v>
      </x:c>
      <x:c r="G161" s="4" t="n">
        <x:v>0.16955308616161346</x:v>
      </x:c>
      <x:c r="H161" s="4" t="n">
        <x:f>IF(OR(D161="",E161=""),"",D161-E161)</x:f>
        <x:v>0.0026957015991211086</x:v>
      </x:c>
      <x:c r="I161" s="5" t="n">
        <x:f>IFERROR(H161/D161,"")</x:f>
        <x:v>0.015582090168330107</x:v>
      </x:c>
      <x:c r="J161" s="4" t="n">
        <x:f>IF(OR(D161="",F161=""),"",D161-F161)</x:f>
        <x:v>0.003938299496968611</x:v>
      </x:c>
      <x:c r="K161" s="5" t="n">
        <x:f>IFERROR(J161/D161,"")</x:f>
        <x:v>0.022764736976697175</x:v>
      </x:c>
      <x:c r="L161" s="4" t="n">
        <x:f>IF(OR(E161="",G161=""),"",E161-G161)</x:f>
        <x:v>0.0007512122392654419</x:v>
      </x:c>
      <x:c r="M161" s="5" t="n">
        <x:f>IFERROR(L161/E161,"")</x:f>
        <x:v>0.004410999876803844</x:v>
      </x:c>
      <x:c r="N161" s="4" t="n">
        <x:f>IF(OR(F161="",G161=""),"",F161-G161)</x:f>
        <x:v>-0.0004913856585820608</x:v>
      </x:c>
      <x:c r="O161" s="5" t="n">
        <x:f>IFERROR(N161/F161,"")</x:f>
        <x:v>-0.002906546291205973</x:v>
      </x:c>
      <x:c r="P161" t="str">
        <x:v>3 seeds: 0 1 2</x:v>
      </x:c>
      <x:c r="Q161" t="str">
        <x:v>3 seeds: 0 1 2</x:v>
      </x:c>
      <x:c r="R161" t="str">
        <x:v>3 seeds: 0 1 2</x:v>
      </x:c>
      <x:c r="S161" t="str">
        <x:v>3 seeds: 0 1 2</x:v>
      </x:c>
    </x:row>
    <x:row r="162">
      <x:c r="A162" t="str">
        <x:v>MICN</x:v>
      </x:c>
      <x:c r="B162" t="str">
        <x:v>weather</x:v>
      </x:c>
      <x:c r="C162" t="n">
        <x:v>192</x:v>
      </x:c>
      <x:c r="D162" s="4" t="n">
        <x:v>0.2265</x:v>
      </x:c>
      <x:c r="E162" s="4" t="n">
        <x:v>0.24612325926621756</x:v>
      </x:c>
      <x:c r="F162" s="4" t="n">
        <x:v>0.22998568415641785</x:v>
      </x:c>
      <x:c r="G162" s="4" t="n">
        <x:v>0.2233666330575943</x:v>
      </x:c>
      <x:c r="H162" s="4" t="n">
        <x:f>IF(OR(D162="",E162=""),"",D162-E162)</x:f>
        <x:v>-0.019623259266217552</x:v>
      </x:c>
      <x:c r="I162" s="5" t="n">
        <x:f>IFERROR(H162/D162,"")</x:f>
        <x:v>-0.08663690625261612</x:v>
      </x:c>
      <x:c r="J162" s="4" t="n">
        <x:f>IF(OR(D162="",F162=""),"",D162-F162)</x:f>
        <x:v>-0.00348568415641784</x:v>
      </x:c>
      <x:c r="K162" s="5" t="n">
        <x:f>IFERROR(J162/D162,"")</x:f>
        <x:v>-0.015389334023919822</x:v>
      </x:c>
      <x:c r="L162" s="4" t="n">
        <x:f>IF(OR(E162="",G162=""),"",E162-G162)</x:f>
        <x:v>0.02275662620862326</x:v>
      </x:c>
      <x:c r="M162" s="5" t="n">
        <x:f>IFERROR(L162/E162,"")</x:f>
        <x:v>0.09246028301619681</x:v>
      </x:c>
      <x:c r="N162" s="4" t="n">
        <x:f>IF(OR(F162="",G162=""),"",F162-G162)</x:f>
        <x:v>0.006619051098823547</x:v>
      </x:c>
      <x:c r="O162" s="5" t="n">
        <x:f>IFERROR(N162/F162,"")</x:f>
        <x:v>0.028780274403174586</x:v>
      </x:c>
      <x:c r="P162" t="str">
        <x:v>3 seeds: 0 1 2</x:v>
      </x:c>
      <x:c r="Q162" t="str">
        <x:v>3 seeds: 0 1 2</x:v>
      </x:c>
      <x:c r="R162" t="str">
        <x:v>3 seeds: 0 1 2</x:v>
      </x:c>
      <x:c r="S162" t="str">
        <x:v>3 seeds: 0 1 2</x:v>
      </x:c>
    </x:row>
    <x:row r="163">
      <x:c r="A163" t="str">
        <x:v>MICN</x:v>
      </x:c>
      <x:c r="B163" t="str">
        <x:v>weather</x:v>
      </x:c>
      <x:c r="C163" t="n">
        <x:v>336</x:v>
      </x:c>
      <x:c r="D163" s="4" t="n">
        <x:v>0.2820666666666667</x:v>
      </x:c>
      <x:c r="E163" s="4" t="n">
        <x:v>0.3264876405398051</x:v>
      </x:c>
      <x:c r="F163" s="4" t="n">
        <x:v>0.32065752148628235</x:v>
      </x:c>
      <x:c r="G163" s="4" t="n">
        <x:v>0.2554969737927119</x:v>
      </x:c>
      <x:c r="H163" s="4" t="n">
        <x:f>IF(OR(D163="",E163=""),"",D163-E163)</x:f>
        <x:v>-0.044420973873138425</x:v>
      </x:c>
      <x:c r="I163" s="5" t="n">
        <x:f>IFERROR(H163/D163,"")</x:f>
        <x:v>-0.15748395369819815</x:v>
      </x:c>
      <x:c r="J163" s="4" t="n">
        <x:f>IF(OR(D163="",F163=""),"",D163-F163)</x:f>
        <x:v>-0.03859085481961566</x:v>
      </x:c>
      <x:c r="K163" s="5" t="n">
        <x:f>IFERROR(J163/D163,"")</x:f>
        <x:v>-0.1368146590154183</x:v>
      </x:c>
      <x:c r="L163" s="4" t="n">
        <x:f>IF(OR(E163="",G163=""),"",E163-G163)</x:f>
        <x:v>0.0709906667470932</x:v>
      </x:c>
      <x:c r="M163" s="5" t="n">
        <x:f>IFERROR(L163/E163,"")</x:f>
        <x:v>0.21743753187630413</x:v>
      </x:c>
      <x:c r="N163" s="4" t="n">
        <x:f>IF(OR(F163="",G163=""),"",F163-G163)</x:f>
        <x:v>0.06516054769357044</x:v>
      </x:c>
      <x:c r="O163" s="5" t="n">
        <x:f>IFERROR(N163/F163,"")</x:f>
        <x:v>0.20320916656357924</x:v>
      </x:c>
      <x:c r="P163" t="str">
        <x:v>3 seeds: 0 1 2</x:v>
      </x:c>
      <x:c r="Q163" t="str">
        <x:v>3 seeds: 0 1 2</x:v>
      </x:c>
      <x:c r="R163" t="str">
        <x:v>3 seeds: 0 1 2</x:v>
      </x:c>
      <x:c r="S163" t="str">
        <x:v>3 seeds: 0 1 2</x:v>
      </x:c>
    </x:row>
    <x:row r="164">
      <x:c r="A164" t="str">
        <x:v>MICN</x:v>
      </x:c>
      <x:c r="B164" t="str">
        <x:v>weather</x:v>
      </x:c>
      <x:c r="C164" t="n">
        <x:v>720</x:v>
      </x:c>
      <x:c r="D164" s="4" t="n">
        <x:v>0.35176666666666667</x:v>
      </x:c>
      <x:c r="E164" s="4" t="n">
        <x:v>0.3473902742067973</x:v>
      </x:c>
      <x:c r="F164" s="4" t="n">
        <x:v>0.370450496673584</x:v>
      </x:c>
      <x:c r="G164" s="4" t="n">
        <x:v>0.23238626619180044</x:v>
      </x:c>
      <x:c r="H164" s="4" t="n">
        <x:f>IF(OR(D164="",E164=""),"",D164-E164)</x:f>
        <x:v>0.0043763924598693715</x:v>
      </x:c>
      <x:c r="I164" s="5" t="n">
        <x:f>IFERROR(H164/D164,"")</x:f>
        <x:v>0.012441180119025978</x:v>
      </x:c>
      <x:c r="J164" s="4" t="n">
        <x:f>IF(OR(D164="",F164=""),"",D164-F164)</x:f>
        <x:v>-0.018683830006917312</x:v>
      </x:c>
      <x:c r="K164" s="5" t="n">
        <x:f>IFERROR(J164/D164,"")</x:f>
        <x:v>-0.05311427084312701</x:v>
      </x:c>
      <x:c r="L164" s="4" t="n">
        <x:f>IF(OR(E164="",G164=""),"",E164-G164)</x:f>
        <x:v>0.11500400801499686</x:v>
      </x:c>
      <x:c r="M164" s="5" t="n">
        <x:f>IFERROR(L164/E164,"")</x:f>
        <x:v>0.3310513176501203</x:v>
      </x:c>
      <x:c r="N164" s="4" t="n">
        <x:f>IF(OR(F164="",G164=""),"",F164-G164)</x:f>
        <x:v>0.13806423048178354</x:v>
      </x:c>
      <x:c r="O164" s="5" t="n">
        <x:f>IFERROR(N164/F164,"")</x:f>
        <x:v>0.3726927935622028</x:v>
      </x:c>
      <x:c r="P164" t="str">
        <x:v>3 seeds: 0 1 2</x:v>
      </x:c>
      <x:c r="Q164" t="str">
        <x:v>3 seeds: 0 1 2</x:v>
      </x:c>
      <x:c r="R164" t="str">
        <x:v>3 seeds: 0 1 2</x:v>
      </x:c>
      <x:c r="S164" t="str">
        <x:v>3 seeds: 0 1 2</x:v>
      </x:c>
    </x:row>
    <x:row r="165">
      <x:c r="A165" t="str">
        <x:v>MICN</x:v>
      </x:c>
      <x:c r="B165" t="str">
        <x:v>electricity</x:v>
      </x:c>
      <x:c r="C165" t="n">
        <x:v>96</x:v>
      </x:c>
      <x:c r="D165" s="4" t="n">
        <x:v>0.17646666666666666</x:v>
      </x:c>
      <x:c r="E165" s="4" t="n">
        <x:v>0.17482146124045053</x:v>
      </x:c>
      <x:c r="F165" s="4" t="n">
        <x:v>0.17324290672938028</x:v>
      </x:c>
      <x:c r="G165" s="4" t="n">
        <x:v>0.17284861703713736</x:v>
      </x:c>
      <x:c r="H165" s="4" t="n">
        <x:f>IF(OR(D165="",E165=""),"",D165-E165)</x:f>
        <x:v>0.0016452054262161286</x:v>
      </x:c>
      <x:c r="I165" s="5" t="n">
        <x:f>IFERROR(H165/D165,"")</x:f>
        <x:v>0.009323037927178666</x:v>
      </x:c>
      <x:c r="J165" s="4" t="n">
        <x:f>IF(OR(D165="",F165=""),"",D165-F165)</x:f>
        <x:v>0.00322375993728638</x:v>
      </x:c>
      <x:c r="K165" s="5" t="n">
        <x:f>IFERROR(J165/D165,"")</x:f>
        <x:v>0.01826837894193264</x:v>
      </x:c>
      <x:c r="L165" s="4" t="n">
        <x:f>IF(OR(E165="",G165=""),"",E165-G165)</x:f>
        <x:v>0.0019728442033131732</x:v>
      </x:c>
      <x:c r="M165" s="5" t="n">
        <x:f>IFERROR(L165/E165,"")</x:f>
        <x:v>0.011284908553645544</x:v>
      </x:c>
      <x:c r="N165" s="4" t="n">
        <x:f>IF(OR(F165="",G165=""),"",F165-G165)</x:f>
        <x:v>0.00039428969224292176</x:v>
      </x:c>
      <x:c r="O165" s="5" t="n">
        <x:f>IFERROR(N165/F165,"")</x:f>
        <x:v>0.0022759355617302983</x:v>
      </x:c>
      <x:c r="P165" t="str">
        <x:v>3 seeds: 0 1 2</x:v>
      </x:c>
      <x:c r="Q165" t="str">
        <x:v>3 seeds: 0 1 2</x:v>
      </x:c>
      <x:c r="R165" t="str">
        <x:v>3 seeds: 0 1 2</x:v>
      </x:c>
      <x:c r="S165" t="str">
        <x:v>3 seeds: 0 1 2</x:v>
      </x:c>
    </x:row>
    <x:row r="166">
      <x:c r="A166" t="str">
        <x:v>MICN</x:v>
      </x:c>
      <x:c r="B166" t="str">
        <x:v>electricity</x:v>
      </x:c>
      <x:c r="C166" t="n">
        <x:v>192</x:v>
      </x:c>
      <x:c r="D166" s="4" t="n">
        <x:v>0.18926666666666667</x:v>
      </x:c>
      <x:c r="E166" s="4" t="n">
        <x:v>0.18364623188972473</x:v>
      </x:c>
      <x:c r="F166" s="4" t="n">
        <x:v>0.1789020299911499</x:v>
      </x:c>
      <x:c r="G166" s="4" t="n">
        <x:v>0.1830666015545527</x:v>
      </x:c>
      <x:c r="H166" s="4" t="n">
        <x:f>IF(OR(D166="",E166=""),"",D166-E166)</x:f>
        <x:v>0.005620434776941935</x:v>
      </x:c>
      <x:c r="I166" s="5" t="n">
        <x:f>IFERROR(H166/D166,"")</x:f>
        <x:v>0.029695851234282856</x:v>
      </x:c>
      <x:c r="J166" s="4" t="n">
        <x:f>IF(OR(D166="",F166=""),"",D166-F166)</x:f>
        <x:v>0.010364636675516764</x:v>
      </x:c>
      <x:c r="K166" s="5" t="n">
        <x:f>IFERROR(J166/D166,"")</x:f>
        <x:v>0.05476208176567505</x:v>
      </x:c>
      <x:c r="L166" s="4" t="n">
        <x:f>IF(OR(E166="",G166=""),"",E166-G166)</x:f>
        <x:v>0.0005796303351720267</x:v>
      </x:c>
      <x:c r="M166" s="5" t="n">
        <x:f>IFERROR(L166/E166,"")</x:f>
        <x:v>0.003156233205591069</x:v>
      </x:c>
      <x:c r="N166" s="4" t="n">
        <x:f>IF(OR(F166="",G166=""),"",F166-G166)</x:f>
        <x:v>-0.0041645715634028024</x:v>
      </x:c>
      <x:c r="O166" s="5" t="n">
        <x:f>IFERROR(N166/F166,"")</x:f>
        <x:v>-0.023278503679409448</x:v>
      </x:c>
      <x:c r="P166" t="str">
        <x:v>3 seeds: 0 1 2</x:v>
      </x:c>
      <x:c r="Q166" t="str">
        <x:v>3 seeds: 0 1 2</x:v>
      </x:c>
      <x:c r="R166" t="str">
        <x:v>3 seeds: 0 1 2</x:v>
      </x:c>
      <x:c r="S166" t="str">
        <x:v>3 seeds: 0 1 2</x:v>
      </x:c>
    </x:row>
    <x:row r="167">
      <x:c r="A167" t="str">
        <x:v>MICN</x:v>
      </x:c>
      <x:c r="B167" t="str">
        <x:v>electricity</x:v>
      </x:c>
      <x:c r="C167" t="n">
        <x:v>336</x:v>
      </x:c>
      <x:c r="D167" s="4" t="n">
        <x:v>0.19413333333333332</x:v>
      </x:c>
      <x:c r="E167" s="4" t="n">
        <x:v>0.18340186774730682</x:v>
      </x:c>
      <x:c r="F167" s="4" t="n">
        <x:v>0.17665539681911469</x:v>
      </x:c>
      <x:c r="G167" s="4" t="n">
        <x:v>0.18436365822950998</x:v>
      </x:c>
      <x:c r="H167" s="4" t="n">
        <x:f>IF(OR(D167="",E167=""),"",D167-E167)</x:f>
        <x:v>0.0107314655860265</x:v>
      </x:c>
      <x:c r="I167" s="5" t="n">
        <x:f>IFERROR(H167/D167,"")</x:f>
        <x:v>0.05527884058736179</x:v>
      </x:c>
      <x:c r="J167" s="4" t="n">
        <x:f>IF(OR(D167="",F167=""),"",D167-F167)</x:f>
        <x:v>0.01747793651421864</x:v>
      </x:c>
      <x:c r="K167" s="5" t="n">
        <x:f>IFERROR(J167/D167,"")</x:f>
        <x:v>0.090030579571868</x:v>
      </x:c>
      <x:c r="L167" s="4" t="n">
        <x:f>IF(OR(E167="",G167=""),"",E167-G167)</x:f>
        <x:v>-0.0009617904822031564</x:v>
      </x:c>
      <x:c r="M167" s="5" t="n">
        <x:f>IFERROR(L167/E167,"")</x:f>
        <x:v>-0.005244169506105152</x:v>
      </x:c>
      <x:c r="N167" s="4" t="n">
        <x:f>IF(OR(F167="",G167=""),"",F167-G167)</x:f>
        <x:v>-0.007708261410395295</x:v>
      </x:c>
      <x:c r="O167" s="5" t="n">
        <x:f>IFERROR(N167/F167,"")</x:f>
        <x:v>-0.04363445187178814</x:v>
      </x:c>
      <x:c r="P167" t="str">
        <x:v>3 seeds: 0 1 2</x:v>
      </x:c>
      <x:c r="Q167" t="str">
        <x:v>3 seeds: 0 1 2</x:v>
      </x:c>
      <x:c r="R167" t="str">
        <x:v>3 seeds: 0 1 2</x:v>
      </x:c>
      <x:c r="S167" t="str">
        <x:v>3 seeds: 0 1 2</x:v>
      </x:c>
    </x:row>
    <x:row r="168">
      <x:c r="A168" t="str">
        <x:v>MICN</x:v>
      </x:c>
      <x:c r="B168" t="str">
        <x:v>electricity</x:v>
      </x:c>
      <x:c r="C168" t="n">
        <x:v>720</x:v>
      </x:c>
      <x:c r="D168" s="4" t="n">
        <x:v>0.21926666666666667</x:v>
      </x:c>
      <x:c r="E168" s="4" t="n">
        <x:v>0.1951456218957901</x:v>
      </x:c>
      <x:c r="F168" s="4" t="n">
        <x:v>0.18547391891479492</x:v>
      </x:c>
      <x:c r="G168" s="4" t="n">
        <x:v>0.18583383659521738</x:v>
      </x:c>
      <x:c r="H168" s="4" t="n">
        <x:f>IF(OR(D168="",E168=""),"",D168-E168)</x:f>
        <x:v>0.024121044770876565</x:v>
      </x:c>
      <x:c r="I168" s="5" t="n">
        <x:f>IFERROR(H168/D168,"")</x:f>
        <x:v>0.11000780527915734</x:v>
      </x:c>
      <x:c r="J168" s="4" t="n">
        <x:f>IF(OR(D168="",F168=""),"",D168-F168)</x:f>
        <x:v>0.03379274775187174</x:v>
      </x:c>
      <x:c r="K168" s="5" t="n">
        <x:f>IFERROR(J168/D168,"")</x:f>
        <x:v>0.15411712261419158</x:v>
      </x:c>
      <x:c r="L168" s="4" t="n">
        <x:f>IF(OR(E168="",G168=""),"",E168-G168)</x:f>
        <x:v>0.009311785300572722</x:v>
      </x:c>
      <x:c r="M168" s="5" t="n">
        <x:f>IFERROR(L168/E168,"")</x:f>
        <x:v>0.04771711099696266</x:v>
      </x:c>
      <x:c r="N168" s="4" t="n">
        <x:f>IF(OR(F168="",G168=""),"",F168-G168)</x:f>
        <x:v>-0.00035991768042245575</x:v>
      </x:c>
      <x:c r="O168" s="5" t="n">
        <x:f>IFERROR(N168/F168,"")</x:f>
        <x:v>-0.0019405298735710585</x:v>
      </x:c>
      <x:c r="P168" t="str">
        <x:v>3 seeds: 0 1 2</x:v>
      </x:c>
      <x:c r="Q168" t="str">
        <x:v>3 seeds: 0 1 2</x:v>
      </x:c>
      <x:c r="R168" t="str">
        <x:v>3 seeds: 0 1 2</x:v>
      </x:c>
      <x:c r="S168" t="str">
        <x:v>3 seeds: 0 1 2</x:v>
      </x:c>
    </x:row>
    <x:row r="169">
      <x:c r="A169" t="str">
        <x:v>MICN</x:v>
      </x:c>
      <x:c r="B169" t="str">
        <x:v>traffic</x:v>
      </x:c>
      <x:c r="C169" t="n">
        <x:v>96</x:v>
      </x:c>
      <x:c r="D169" s="4" t="n">
        <x:v>0.49793333333333334</x:v>
      </x:c>
      <x:c r="E169" s="4" t="n">
        <x:v>0.46380258599917096</x:v>
      </x:c>
      <x:c r="F169" s="4" t="n">
        <x:v>0.4604647159576416</x:v>
      </x:c>
      <x:c r="G169" s="4" t="n">
        <x:v>0.4626895288626353</x:v>
      </x:c>
      <x:c r="H169" s="4" t="n">
        <x:f>IF(OR(D169="",E169=""),"",D169-E169)</x:f>
        <x:v>0.03413074733416238</x:v>
      </x:c>
      <x:c r="I169" s="5" t="n">
        <x:f>IFERROR(H169/D169,"")</x:f>
        <x:v>0.06854481322967408</x:v>
      </x:c>
      <x:c r="J169" s="4" t="n">
        <x:f>IF(OR(D169="",F169=""),"",D169-F169)</x:f>
        <x:v>0.03746861737569174</x:v>
      </x:c>
      <x:c r="K169" s="5" t="n">
        <x:f>IFERROR(J169/D169,"")</x:f>
        <x:v>0.07524826089642202</x:v>
      </x:c>
      <x:c r="L169" s="4" t="n">
        <x:f>IF(OR(E169="",G169=""),"",E169-G169)</x:f>
        <x:v>0.0011130571365356445</x:v>
      </x:c>
      <x:c r="M169" s="5" t="n">
        <x:f>IFERROR(L169/E169,"")</x:f>
        <x:v>0.002399851079177972</x:v>
      </x:c>
      <x:c r="N169" s="4" t="n">
        <x:f>IF(OR(F169="",G169=""),"",F169-G169)</x:f>
        <x:v>-0.0022248129049937115</x:v>
      </x:c>
      <x:c r="O169" s="5" t="n">
        <x:f>IFERROR(N169/F169,"")</x:f>
        <x:v>-0.004831668590212617</x:v>
      </x:c>
      <x:c r="P169" t="str">
        <x:v>3 seeds: 0 1 2</x:v>
      </x:c>
      <x:c r="Q169" t="str">
        <x:v>3 seeds: 0 1 2</x:v>
      </x:c>
      <x:c r="R169" t="str">
        <x:v>3 seeds: 0 1 2</x:v>
      </x:c>
      <x:c r="S169" t="str">
        <x:v>3 seeds: 0 1 2</x:v>
      </x:c>
    </x:row>
    <x:row r="170">
      <x:c r="A170" t="str">
        <x:v>MICN</x:v>
      </x:c>
      <x:c r="B170" t="str">
        <x:v>traffic</x:v>
      </x:c>
      <x:c r="C170" t="n">
        <x:v>192</x:v>
      </x:c>
      <x:c r="D170" s="4" t="n">
        <x:v>0.5097666666666667</x:v>
      </x:c>
      <x:c r="E170" s="4" t="n">
        <x:v>0.47795917590459186</x:v>
      </x:c>
      <x:c r="F170" s="4" t="n">
        <x:v>0.4749463001887004</x:v>
      </x:c>
      <x:c r="G170" s="4" t="n">
        <x:v>0.4781697789827983</x:v>
      </x:c>
      <x:c r="H170" s="4" t="n">
        <x:f>IF(OR(D170="",E170=""),"",D170-E170)</x:f>
        <x:v>0.03180749076207484</x:v>
      </x:c>
      <x:c r="I170" s="5" t="n">
        <x:f>IFERROR(H170/D170,"")</x:f>
        <x:v>0.062396176215408695</x:v>
      </x:c>
      <x:c r="J170" s="4" t="n">
        <x:f>IF(OR(D170="",F170=""),"",D170-F170)</x:f>
        <x:v>0.034820366477966325</x:v>
      </x:c>
      <x:c r="K170" s="5" t="n">
        <x:f>IFERROR(J170/D170,"")</x:f>
        <x:v>0.06830647971875954</x:v>
      </x:c>
      <x:c r="L170" s="4" t="n">
        <x:f>IF(OR(E170="",G170=""),"",E170-G170)</x:f>
        <x:v>-0.00021060307820641722</x:v>
      </x:c>
      <x:c r="M170" s="5" t="n">
        <x:f>IFERROR(L170/E170,"")</x:f>
        <x:v>-0.0004406298462788732</x:v>
      </x:c>
      <x:c r="N170" s="4" t="n">
        <x:f>IF(OR(F170="",G170=""),"",F170-G170)</x:f>
        <x:v>-0.0032234787940979004</x:v>
      </x:c>
      <x:c r="O170" s="5" t="n">
        <x:f>IFERROR(N170/F170,"")</x:f>
        <x:v>-0.00678703843532876</x:v>
      </x:c>
      <x:c r="P170" t="str">
        <x:v>3 seeds: 0 1 2</x:v>
      </x:c>
      <x:c r="Q170" t="str">
        <x:v>3 seeds: 0 1 2</x:v>
      </x:c>
      <x:c r="R170" t="str">
        <x:v>3 seeds: 0 1 2</x:v>
      </x:c>
      <x:c r="S170" t="str">
        <x:v>3 seeds: 0 1 2</x:v>
      </x:c>
    </x:row>
    <x:row r="171">
      <x:c r="A171" t="str">
        <x:v>MICN</x:v>
      </x:c>
      <x:c r="B171" t="str">
        <x:v>traffic</x:v>
      </x:c>
      <x:c r="C171" t="n">
        <x:v>336</x:v>
      </x:c>
      <x:c r="D171" s="4" t="n">
        <x:v>0.5350666666666667</x:v>
      </x:c>
      <x:c r="E171" s="4" t="n">
        <x:v>0.4989924331506093</x:v>
      </x:c>
      <x:c r="F171" s="4" t="n">
        <x:v>0.4939431846141815</x:v>
      </x:c>
      <x:c r="G171" s="4" t="n">
        <x:v>0.4998069703578949</x:v>
      </x:c>
      <x:c r="H171" s="4" t="n">
        <x:f>IF(OR(D171="",E171=""),"",D171-E171)</x:f>
        <x:v>0.036074233516057375</x:v>
      </x:c>
      <x:c r="I171" s="5" t="n">
        <x:f>IFERROR(H171/D171,"")</x:f>
        <x:v>0.067420072606636</x:v>
      </x:c>
      <x:c r="J171" s="4" t="n">
        <x:f>IF(OR(D171="",F171=""),"",D171-F171)</x:f>
        <x:v>0.04112348205248517</x:v>
      </x:c>
      <x:c r="K171" s="5" t="n">
        <x:f>IFERROR(J171/D171,"")</x:f>
        <x:v>0.0768567444290154</x:v>
      </x:c>
      <x:c r="L171" s="4" t="n">
        <x:f>IF(OR(E171="",G171=""),"",E171-G171)</x:f>
        <x:v>-0.0008145372072855817</x:v>
      </x:c>
      <x:c r="M171" s="5" t="n">
        <x:f>IFERROR(L171/E171,"")</x:f>
        <x:v>-0.0016323638459658414</x:v>
      </x:c>
      <x:c r="N171" s="4" t="n">
        <x:f>IF(OR(F171="",G171=""),"",F171-G171)</x:f>
        <x:v>-0.005863785743713379</x:v>
      </x:c>
      <x:c r="O171" s="5" t="n">
        <x:f>IFERROR(N171/F171,"")</x:f>
        <x:v>-0.011871376964728394</x:v>
      </x:c>
      <x:c r="P171" t="str">
        <x:v>3 seeds: 0 1 2</x:v>
      </x:c>
      <x:c r="Q171" t="str">
        <x:v>3 seeds: 0 1 2</x:v>
      </x:c>
      <x:c r="R171" t="str">
        <x:v>3 seeds: 0 1 2</x:v>
      </x:c>
      <x:c r="S171" t="str">
        <x:v>3 seeds: 0 1 2</x:v>
      </x:c>
    </x:row>
    <x:row r="172">
      <x:c r="A172" t="str">
        <x:v>MICN</x:v>
      </x:c>
      <x:c r="B172" t="str">
        <x:v>traffic</x:v>
      </x:c>
      <x:c r="C172" t="n">
        <x:v>720</x:v>
      </x:c>
      <x:c r="D172" s="4" t="n">
        <x:v>0.5788666666666666</x:v>
      </x:c>
      <x:c r="E172" s="4" t="n">
        <x:v>0.5341654817263285</x:v>
      </x:c>
      <x:c r="F172" s="4" t="n">
        <x:v>0.5263590812683105</x:v>
      </x:c>
      <x:c r="G172" s="4" t="n">
        <x:v>0.5299643079439799</x:v>
      </x:c>
      <x:c r="H172" s="4" t="n">
        <x:f>IF(OR(D172="",E172=""),"",D172-E172)</x:f>
        <x:v>0.044701184940338146</x:v>
      </x:c>
      <x:c r="I172" s="5" t="n">
        <x:f>IFERROR(H172/D172,"")</x:f>
        <x:v>0.07722190188933228</x:v>
      </x:c>
      <x:c r="J172" s="4" t="n">
        <x:f>IF(OR(D172="",F172=""),"",D172-F172)</x:f>
        <x:v>0.052507585398356094</x:v>
      </x:c>
      <x:c r="K172" s="5" t="n">
        <x:f>IFERROR(J172/D172,"")</x:f>
        <x:v>0.09070756431824732</x:v>
      </x:c>
      <x:c r="L172" s="4" t="n">
        <x:f>IF(OR(E172="",G172=""),"",E172-G172)</x:f>
        <x:v>0.004201173782348633</x:v>
      </x:c>
      <x:c r="M172" s="5" t="n">
        <x:f>IFERROR(L172/E172,"")</x:f>
        <x:v>0.007864929363782889</x:v>
      </x:c>
      <x:c r="N172" s="4" t="n">
        <x:f>IF(OR(F172="",G172=""),"",F172-G172)</x:f>
        <x:v>-0.003605226675669315</x:v>
      </x:c>
      <x:c r="O172" s="5" t="n">
        <x:f>IFERROR(N172/F172,"")</x:f>
        <x:v>-0.006849367293107569</x:v>
      </x:c>
      <x:c r="P172" t="str">
        <x:v>3 seeds: 0 1 2</x:v>
      </x:c>
      <x:c r="Q172" t="str">
        <x:v>3 seeds: 0 1 2</x:v>
      </x:c>
      <x:c r="R172" t="str">
        <x:v>3 seeds: 0 1 2</x:v>
      </x:c>
      <x:c r="S172" t="str">
        <x:v>3 seeds: 0 1 2</x:v>
      </x:c>
    </x:row>
  </x:sheetData>
  <x:conditionalFormatting sqref="H2:H172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I2:I172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J2:J172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K2:K172">
    <x:cfRule type="cellIs" dxfId="6" priority="7" operator="greaterThan">
      <x:formula>0</x:formula>
    </x:cfRule>
    <x:cfRule type="cellIs" dxfId="7" priority="8" operator="lessThan">
      <x:formula>0</x:formula>
    </x:cfRule>
  </x:conditionalFormatting>
  <x:conditionalFormatting sqref="L2:L172">
    <x:cfRule type="cellIs" dxfId="8" priority="9" operator="greaterThan">
      <x:formula>0</x:formula>
    </x:cfRule>
    <x:cfRule type="cellIs" dxfId="9" priority="10" operator="lessThan">
      <x:formula>0</x:formula>
    </x:cfRule>
  </x:conditionalFormatting>
  <x:conditionalFormatting sqref="M2:M172">
    <x:cfRule type="cellIs" dxfId="10" priority="11" operator="greaterThan">
      <x:formula>0</x:formula>
    </x:cfRule>
    <x:cfRule type="cellIs" dxfId="11" priority="12" operator="lessThan">
      <x:formula>0</x:formula>
    </x:cfRule>
  </x:conditionalFormatting>
  <x:conditionalFormatting sqref="N2:N172">
    <x:cfRule type="cellIs" dxfId="12" priority="13" operator="greaterThan">
      <x:formula>0</x:formula>
    </x:cfRule>
    <x:cfRule type="cellIs" dxfId="13" priority="14" operator="lessThan">
      <x:formula>0</x:formula>
    </x:cfRule>
  </x:conditionalFormatting>
  <x:conditionalFormatting sqref="O2:O172">
    <x:cfRule type="cellIs" dxfId="14" priority="15" operator="greaterThan">
      <x:formula>0</x:formula>
    </x:cfRule>
    <x:cfRule type="cellIs" dxfId="15" priority="16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be47f318b545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</x:cols>
  <x:sheetData>
    <x:row r="1">
      <x:c r="A1" s="3" t="str">
        <x:v>Model</x:v>
      </x:c>
      <x:c r="B1" s="3" t="str">
        <x:v>N</x:v>
      </x:c>
      <x:c r="C1" s="3" t="str">
        <x:v>COSA-F vs Baseline %</x:v>
      </x:c>
      <x:c r="D1" s="3" t="str">
        <x:v>COSA-P vs Baseline %</x:v>
      </x:c>
      <x:c r="E1" s="3" t="str">
        <x:v>Spectral vs COSA-F %</x:v>
      </x:c>
      <x:c r="F1" s="3" t="str">
        <x:v>Spectral vs COSA-P %</x:v>
      </x:c>
      <x:c r="G1" s="3" t="str">
        <x:v>F Win Rate</x:v>
      </x:c>
      <x:c r="H1" s="3" t="str">
        <x:v>P Win Rate</x:v>
      </x:c>
      <x:c r="I1" s="3" t="str">
        <x:v>Spectral&gt;F Win Rate</x:v>
      </x:c>
      <x:c r="J1" s="3" t="str">
        <x:v>Spectral&gt;P Win Rate</x:v>
      </x:c>
    </x:row>
    <x:row r="2">
      <x:c r="A2" t="str">
        <x:v>iTransformer</x:v>
      </x:c>
      <x:c r="B2" s="6" t="n">
        <x:f>COUNTIF(Detail_All!$A$2:$A$172,A2)</x:f>
        <x:v>28</x:v>
      </x:c>
      <x:c r="C2" s="5" t="n">
        <x:f>AVERAGEIF(Detail_All!$A$2:$A$172,A2,Detail_All!$I$2:$I$172)</x:f>
        <x:v>0.07166629098607391</x:v>
      </x:c>
      <x:c r="D2" s="5" t="n">
        <x:f>AVERAGEIF(Detail_All!$A$2:$A$172,A2,Detail_All!$K$2:$K$172)</x:f>
        <x:v>0.055829789069752125</x:v>
      </x:c>
      <x:c r="E2" s="5" t="n">
        <x:f>AVERAGEIF(Detail_All!$A$2:$A$172,A2,Detail_All!$M$2:$M$172)</x:f>
        <x:v>0.04795853847541447</x:v>
      </x:c>
      <x:c r="F2" s="5" t="n">
        <x:f>AVERAGEIF(Detail_All!$A$2:$A$172,A2,Detail_All!$O$2:$O$172)</x:f>
        <x:v>0.06569147955086373</x:v>
      </x:c>
      <x:c r="G2" s="5" t="n">
        <x:f>COUNTIFS(Detail_All!$A$2:$A$172,A2,Detail_All!$H$2:$H$172,"&gt;0")/B2</x:f>
        <x:v>0.75</x:v>
      </x:c>
      <x:c r="H2" s="5" t="n">
        <x:f>COUNTIFS(Detail_All!$A$2:$A$172,A2,Detail_All!$J$2:$J$172,"&gt;0")/B2</x:f>
        <x:v>0.7142857142857143</x:v>
      </x:c>
      <x:c r="I2" s="5" t="n">
        <x:f>COUNTIFS(Detail_All!$A$2:$A$172,A2,Detail_All!$L$2:$L$172,"&gt;0")/B2</x:f>
        <x:v>0.7142857142857143</x:v>
      </x:c>
      <x:c r="J2" s="5" t="n">
        <x:f>COUNTIFS(Detail_All!$A$2:$A$172,A2,Detail_All!$N$2:$N$172,"&gt;0")/B2</x:f>
        <x:v>0.6785714285714286</x:v>
      </x:c>
    </x:row>
    <x:row r="3">
      <x:c r="A3" t="str">
        <x:v>DLinear</x:v>
      </x:c>
      <x:c r="B3" s="6" t="n">
        <x:f>COUNTIF(Detail_All!$A$2:$A$172,A3)</x:f>
        <x:v>32</x:v>
      </x:c>
      <x:c r="C3" s="5" t="n">
        <x:f>AVERAGEIF(Detail_All!$A$2:$A$172,A3,Detail_All!$I$2:$I$172)</x:f>
        <x:v>0.04474094794252108</x:v>
      </x:c>
      <x:c r="D3" s="5" t="n">
        <x:f>AVERAGEIF(Detail_All!$A$2:$A$172,A3,Detail_All!$K$2:$K$172)</x:f>
        <x:v>0.027353828288445448</x:v>
      </x:c>
      <x:c r="E3" s="5" t="n">
        <x:f>AVERAGEIF(Detail_All!$A$2:$A$172,A3,Detail_All!$M$2:$M$172)</x:f>
        <x:v>0.06093226147821498</x:v>
      </x:c>
      <x:c r="F3" s="5" t="n">
        <x:f>AVERAGEIF(Detail_All!$A$2:$A$172,A3,Detail_All!$O$2:$O$172)</x:f>
        <x:v>0.07909252580172974</x:v>
      </x:c>
      <x:c r="G3" s="5" t="n">
        <x:f>COUNTIFS(Detail_All!$A$2:$A$172,A3,Detail_All!$H$2:$H$172,"&gt;0")/B3</x:f>
        <x:v>0.6875</x:v>
      </x:c>
      <x:c r="H3" s="5" t="n">
        <x:f>COUNTIFS(Detail_All!$A$2:$A$172,A3,Detail_All!$J$2:$J$172,"&gt;0")/B3</x:f>
        <x:v>0.59375</x:v>
      </x:c>
      <x:c r="I3" s="5" t="n">
        <x:f>COUNTIFS(Detail_All!$A$2:$A$172,A3,Detail_All!$L$2:$L$172,"&gt;0")/B3</x:f>
        <x:v>0.9375</x:v>
      </x:c>
      <x:c r="J3" s="5" t="n">
        <x:f>COUNTIFS(Detail_All!$A$2:$A$172,A3,Detail_All!$N$2:$N$172,"&gt;0")/B3</x:f>
        <x:v>0.8125</x:v>
      </x:c>
    </x:row>
    <x:row r="4">
      <x:c r="A4" t="str">
        <x:v>FreTS</x:v>
      </x:c>
      <x:c r="B4" s="6" t="n">
        <x:f>COUNTIF(Detail_All!$A$2:$A$172,A4)</x:f>
        <x:v>28</x:v>
      </x:c>
      <x:c r="C4" s="5" t="n">
        <x:f>AVERAGEIF(Detail_All!$A$2:$A$172,A4,Detail_All!$I$2:$I$172)</x:f>
        <x:v>0.051263739955067715</x:v>
      </x:c>
      <x:c r="D4" s="5" t="n">
        <x:f>AVERAGEIF(Detail_All!$A$2:$A$172,A4,Detail_All!$K$2:$K$172)</x:f>
        <x:v>0.02988953432831541</x:v>
      </x:c>
      <x:c r="E4" s="5" t="n">
        <x:f>AVERAGEIF(Detail_All!$A$2:$A$172,A4,Detail_All!$M$2:$M$172)</x:f>
        <x:v>0.05549321347295936</x:v>
      </x:c>
      <x:c r="F4" s="5" t="n">
        <x:f>AVERAGEIF(Detail_All!$A$2:$A$172,A4,Detail_All!$O$2:$O$172)</x:f>
        <x:v>0.07875735210646599</x:v>
      </x:c>
      <x:c r="G4" s="5" t="n">
        <x:f>COUNTIFS(Detail_All!$A$2:$A$172,A4,Detail_All!$H$2:$H$172,"&gt;0")/B4</x:f>
        <x:v>0.6071428571428571</x:v>
      </x:c>
      <x:c r="H4" s="5" t="n">
        <x:f>COUNTIFS(Detail_All!$A$2:$A$172,A4,Detail_All!$J$2:$J$172,"&gt;0")/B4</x:f>
        <x:v>0.5357142857142857</x:v>
      </x:c>
      <x:c r="I4" s="5" t="n">
        <x:f>COUNTIFS(Detail_All!$A$2:$A$172,A4,Detail_All!$L$2:$L$172,"&gt;0")/B4</x:f>
        <x:v>0.8571428571428571</x:v>
      </x:c>
      <x:c r="J4" s="5" t="n">
        <x:f>COUNTIFS(Detail_All!$A$2:$A$172,A4,Detail_All!$N$2:$N$172,"&gt;0")/B4</x:f>
        <x:v>0.75</x:v>
      </x:c>
    </x:row>
    <x:row r="5">
      <x:c r="A5" t="str">
        <x:v>PatchTST</x:v>
      </x:c>
      <x:c r="B5" s="6" t="n">
        <x:f>COUNTIF(Detail_All!$A$2:$A$172,A5)</x:f>
        <x:v>24</x:v>
      </x:c>
      <x:c r="C5" s="5" t="n">
        <x:f>AVERAGEIF(Detail_All!$A$2:$A$172,A5,Detail_All!$I$2:$I$172)</x:f>
        <x:v>0.10118069579739507</x:v>
      </x:c>
      <x:c r="D5" s="5" t="n">
        <x:f>AVERAGEIF(Detail_All!$A$2:$A$172,A5,Detail_All!$K$2:$K$172)</x:f>
        <x:v>0.08160316271309948</x:v>
      </x:c>
      <x:c r="E5" s="5" t="n">
        <x:f>AVERAGEIF(Detail_All!$A$2:$A$172,A5,Detail_All!$M$2:$M$172)</x:f>
        <x:v>0.06303075913253216</x:v>
      </x:c>
      <x:c r="F5" s="5" t="n">
        <x:f>AVERAGEIF(Detail_All!$A$2:$A$172,A5,Detail_All!$O$2:$O$172)</x:f>
        <x:v>0.08505088992714038</x:v>
      </x:c>
      <x:c r="G5" s="5" t="n">
        <x:f>COUNTIFS(Detail_All!$A$2:$A$172,A5,Detail_All!$H$2:$H$172,"&gt;0")/B5</x:f>
        <x:v>0.8333333333333334</x:v>
      </x:c>
      <x:c r="H5" s="5" t="n">
        <x:f>COUNTIFS(Detail_All!$A$2:$A$172,A5,Detail_All!$J$2:$J$172,"&gt;0")/B5</x:f>
        <x:v>0.8333333333333334</x:v>
      </x:c>
      <x:c r="I5" s="5" t="n">
        <x:f>COUNTIFS(Detail_All!$A$2:$A$172,A5,Detail_All!$L$2:$L$172,"&gt;0")/B5</x:f>
        <x:v>0.8333333333333334</x:v>
      </x:c>
      <x:c r="J5" s="5" t="n">
        <x:f>COUNTIFS(Detail_All!$A$2:$A$172,A5,Detail_All!$N$2:$N$172,"&gt;0")/B5</x:f>
        <x:v>0.75</x:v>
      </x:c>
    </x:row>
    <x:row r="6">
      <x:c r="A6" t="str">
        <x:v>OLS</x:v>
      </x:c>
      <x:c r="B6" s="6" t="n">
        <x:f>COUNTIF(Detail_All!$A$2:$A$172,A6)</x:f>
        <x:v>27</x:v>
      </x:c>
      <x:c r="C6" s="5" t="n">
        <x:f>AVERAGEIF(Detail_All!$A$2:$A$172,A6,Detail_All!$I$2:$I$172)</x:f>
        <x:v>0.05268819845101488</x:v>
      </x:c>
      <x:c r="D6" s="5" t="n">
        <x:f>AVERAGEIF(Detail_All!$A$2:$A$172,A6,Detail_All!$K$2:$K$172)</x:f>
        <x:v>0.02975474902268888</x:v>
      </x:c>
      <x:c r="E6" s="5" t="n">
        <x:f>AVERAGEIF(Detail_All!$A$2:$A$172,A6,Detail_All!$M$2:$M$172)</x:f>
        <x:v>0.06649070245412034</x:v>
      </x:c>
      <x:c r="F6" s="5" t="n">
        <x:f>AVERAGEIF(Detail_All!$A$2:$A$172,A6,Detail_All!$O$2:$O$172)</x:f>
        <x:v>0.09101355543240743</x:v>
      </x:c>
      <x:c r="G6" s="5" t="n">
        <x:f>COUNTIFS(Detail_All!$A$2:$A$172,A6,Detail_All!$H$2:$H$172,"&gt;0")/B6</x:f>
        <x:v>0.6666666666666666</x:v>
      </x:c>
      <x:c r="H6" s="5" t="n">
        <x:f>COUNTIFS(Detail_All!$A$2:$A$172,A6,Detail_All!$J$2:$J$172,"&gt;0")/B6</x:f>
        <x:v>0.5555555555555556</x:v>
      </x:c>
      <x:c r="I6" s="5" t="n">
        <x:f>COUNTIFS(Detail_All!$A$2:$A$172,A6,Detail_All!$L$2:$L$172,"&gt;0")/B6</x:f>
        <x:v>0.9259259259259259</x:v>
      </x:c>
      <x:c r="J6" s="5" t="n">
        <x:f>COUNTIFS(Detail_All!$A$2:$A$172,A6,Detail_All!$N$2:$N$172,"&gt;0")/B6</x:f>
        <x:v>0.8518518518518519</x:v>
      </x:c>
    </x:row>
    <x:row r="7">
      <x:c r="A7" t="str">
        <x:v>MICN</x:v>
      </x:c>
      <x:c r="B7" s="6" t="n">
        <x:f>COUNTIF(Detail_All!$A$2:$A$172,A7)</x:f>
        <x:v>32</x:v>
      </x:c>
      <x:c r="C7" s="5" t="n">
        <x:f>AVERAGEIF(Detail_All!$A$2:$A$172,A7,Detail_All!$I$2:$I$172)</x:f>
        <x:v>0.06293462483311629</x:v>
      </x:c>
      <x:c r="D7" s="5" t="n">
        <x:f>AVERAGEIF(Detail_All!$A$2:$A$172,A7,Detail_All!$K$2:$K$172)</x:f>
        <x:v>0.05614021973547129</x:v>
      </x:c>
      <x:c r="E7" s="5" t="n">
        <x:f>AVERAGEIF(Detail_All!$A$2:$A$172,A7,Detail_All!$M$2:$M$172)</x:f>
        <x:v>0.042483340986433714</x:v>
      </x:c>
      <x:c r="F7" s="5" t="n">
        <x:f>AVERAGEIF(Detail_All!$A$2:$A$172,A7,Detail_All!$O$2:$O$172)</x:f>
        <x:v>0.05298806703971166</x:v>
      </x:c>
      <x:c r="G7" s="5" t="n">
        <x:f>COUNTIFS(Detail_All!$A$2:$A$172,A7,Detail_All!$H$2:$H$172,"&gt;0")/B7</x:f>
        <x:v>0.8125</x:v>
      </x:c>
      <x:c r="H7" s="5" t="n">
        <x:f>COUNTIFS(Detail_All!$A$2:$A$172,A7,Detail_All!$J$2:$J$172,"&gt;0")/B7</x:f>
        <x:v>0.75</x:v>
      </x:c>
      <x:c r="I7" s="5" t="n">
        <x:f>COUNTIFS(Detail_All!$A$2:$A$172,A7,Detail_All!$L$2:$L$172,"&gt;0")/B7</x:f>
        <x:v>0.75</x:v>
      </x:c>
      <x:c r="J7" s="5" t="n">
        <x:f>COUNTIFS(Detail_All!$A$2:$A$172,A7,Detail_All!$N$2:$N$172,"&gt;0")/B7</x:f>
        <x:v>0.625</x:v>
      </x:c>
    </x:row>
  </x:sheetData>
  <x:conditionalFormatting sqref="C2:F7">
    <x:cfRule type="cellIs" dxfId="18" priority="1" operator="greaterThan">
      <x:formula>0</x:formula>
    </x:cfRule>
    <x:cfRule type="cellIs" dxfId="1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eb428f94c34d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</x:cols>
  <x:sheetData>
    <x:row r="1">
      <x:c r="A1" s="3" t="str">
        <x:v>Dataset</x:v>
      </x:c>
      <x:c r="B1" s="3" t="str">
        <x:v>N</x:v>
      </x:c>
      <x:c r="C1" s="3" t="str">
        <x:v>COSA-F vs Baseline %</x:v>
      </x:c>
      <x:c r="D1" s="3" t="str">
        <x:v>COSA-P vs Baseline %</x:v>
      </x:c>
      <x:c r="E1" s="3" t="str">
        <x:v>Spectral vs COSA-F %</x:v>
      </x:c>
      <x:c r="F1" s="3" t="str">
        <x:v>Spectral vs COSA-P %</x:v>
      </x:c>
      <x:c r="G1" s="3" t="str">
        <x:v>F Win Rate</x:v>
      </x:c>
      <x:c r="H1" s="3" t="str">
        <x:v>P Win Rate</x:v>
      </x:c>
      <x:c r="I1" s="3" t="str">
        <x:v>Spectral&gt;F Win Rate</x:v>
      </x:c>
      <x:c r="J1" s="3" t="str">
        <x:v>Spectral&gt;P Win Rate</x:v>
      </x:c>
    </x:row>
    <x:row r="2">
      <x:c r="A2" t="str">
        <x:v>ETTh1</x:v>
      </x:c>
      <x:c r="B2" s="6" t="n">
        <x:f>COUNTIF(Detail_All!$B$2:$B$172,A2)</x:f>
        <x:v>24</x:v>
      </x:c>
      <x:c r="C2" s="5" t="n">
        <x:f>AVERAGEIF(Detail_All!$B$2:$B$172,A2,Detail_All!$I$2:$I$172)</x:f>
        <x:v>0.05686411604133159</x:v>
      </x:c>
      <x:c r="D2" s="5" t="n">
        <x:f>AVERAGEIF(Detail_All!$B$2:$B$172,A2,Detail_All!$K$2:$K$172)</x:f>
        <x:v>0.08127878565231024</x:v>
      </x:c>
      <x:c r="E2" s="5" t="n">
        <x:f>AVERAGEIF(Detail_All!$B$2:$B$172,A2,Detail_All!$M$2:$M$172)</x:f>
        <x:v>0.041520902165496566</x:v>
      </x:c>
      <x:c r="F2" s="5" t="n">
        <x:f>AVERAGEIF(Detail_All!$B$2:$B$172,A2,Detail_All!$O$2:$O$172)</x:f>
        <x:v>0.013626072201659364</x:v>
      </x:c>
      <x:c r="G2" s="5" t="n">
        <x:f>COUNTIFS(Detail_All!$B$2:$B$172,A2,Detail_All!$H$2:$H$172,"&gt;0")/B2</x:f>
        <x:v>0.75</x:v>
      </x:c>
      <x:c r="H2" s="5" t="n">
        <x:f>COUNTIFS(Detail_All!$B$2:$B$172,A2,Detail_All!$J$2:$J$172,"&gt;0")/B2</x:f>
        <x:v>0.75</x:v>
      </x:c>
      <x:c r="I2" s="5" t="n">
        <x:f>COUNTIFS(Detail_All!$B$2:$B$172,A2,Detail_All!$L$2:$L$172,"&gt;0")/B2</x:f>
        <x:v>0.9583333333333334</x:v>
      </x:c>
      <x:c r="J2" s="5" t="n">
        <x:f>COUNTIFS(Detail_All!$B$2:$B$172,A2,Detail_All!$N$2:$N$172,"&gt;0")/B2</x:f>
        <x:v>0.625</x:v>
      </x:c>
    </x:row>
    <x:row r="3">
      <x:c r="A3" t="str">
        <x:v>ETTh2</x:v>
      </x:c>
      <x:c r="B3" s="6" t="n">
        <x:f>COUNTIF(Detail_All!$B$2:$B$172,A3)</x:f>
        <x:v>24</x:v>
      </x:c>
      <x:c r="C3" s="5" t="n">
        <x:f>AVERAGEIF(Detail_All!$B$2:$B$172,A3,Detail_All!$I$2:$I$172)</x:f>
        <x:v>0.03331261560802409</x:v>
      </x:c>
      <x:c r="D3" s="5" t="n">
        <x:f>AVERAGEIF(Detail_All!$B$2:$B$172,A3,Detail_All!$K$2:$K$172)</x:f>
        <x:v>0.030763244913692478</x:v>
      </x:c>
      <x:c r="E3" s="5" t="n">
        <x:f>AVERAGEIF(Detail_All!$B$2:$B$172,A3,Detail_All!$M$2:$M$172)</x:f>
        <x:v>0.0005515412112179081</x:v>
      </x:c>
      <x:c r="F3" s="5" t="n">
        <x:f>AVERAGEIF(Detail_All!$B$2:$B$172,A3,Detail_All!$O$2:$O$172)</x:f>
        <x:v>0.003084725235311092</x:v>
      </x:c>
      <x:c r="G3" s="5" t="n">
        <x:f>COUNTIFS(Detail_All!$B$2:$B$172,A3,Detail_All!$H$2:$H$172,"&gt;0")/B3</x:f>
        <x:v>0.5416666666666666</x:v>
      </x:c>
      <x:c r="H3" s="5" t="n">
        <x:f>COUNTIFS(Detail_All!$B$2:$B$172,A3,Detail_All!$J$2:$J$172,"&gt;0")/B3</x:f>
        <x:v>0.625</x:v>
      </x:c>
      <x:c r="I3" s="5" t="n">
        <x:f>COUNTIFS(Detail_All!$B$2:$B$172,A3,Detail_All!$L$2:$L$172,"&gt;0")/B3</x:f>
        <x:v>0.625</x:v>
      </x:c>
      <x:c r="J3" s="5" t="n">
        <x:f>COUNTIFS(Detail_All!$B$2:$B$172,A3,Detail_All!$N$2:$N$172,"&gt;0")/B3</x:f>
        <x:v>0.5833333333333334</x:v>
      </x:c>
    </x:row>
    <x:row r="4">
      <x:c r="A4" t="str">
        <x:v>ETTm1</x:v>
      </x:c>
      <x:c r="B4" s="6" t="n">
        <x:f>COUNTIF(Detail_All!$B$2:$B$172,A4)</x:f>
        <x:v>24</x:v>
      </x:c>
      <x:c r="C4" s="5" t="n">
        <x:f>AVERAGEIF(Detail_All!$B$2:$B$172,A4,Detail_All!$I$2:$I$172)</x:f>
        <x:v>0.052436516422417194</x:v>
      </x:c>
      <x:c r="D4" s="5" t="n">
        <x:f>AVERAGEIF(Detail_All!$B$2:$B$172,A4,Detail_All!$K$2:$K$172)</x:f>
        <x:v>0.04475315052977779</x:v>
      </x:c>
      <x:c r="E4" s="5" t="n">
        <x:f>AVERAGEIF(Detail_All!$B$2:$B$172,A4,Detail_All!$M$2:$M$172)</x:f>
        <x:v>0.07159165865263933</x:v>
      </x:c>
      <x:c r="F4" s="5" t="n">
        <x:f>AVERAGEIF(Detail_All!$B$2:$B$172,A4,Detail_All!$O$2:$O$172)</x:f>
        <x:v>0.07764869627874936</x:v>
      </x:c>
      <x:c r="G4" s="5" t="n">
        <x:f>COUNTIFS(Detail_All!$B$2:$B$172,A4,Detail_All!$H$2:$H$172,"&gt;0")/B4</x:f>
        <x:v>0.9166666666666666</x:v>
      </x:c>
      <x:c r="H4" s="5" t="n">
        <x:f>COUNTIFS(Detail_All!$B$2:$B$172,A4,Detail_All!$J$2:$J$172,"&gt;0")/B4</x:f>
        <x:v>0.8333333333333334</x:v>
      </x:c>
      <x:c r="I4" s="5" t="n">
        <x:f>COUNTIFS(Detail_All!$B$2:$B$172,A4,Detail_All!$L$2:$L$172,"&gt;0")/B4</x:f>
        <x:v>1</x:v>
      </x:c>
      <x:c r="J4" s="5" t="n">
        <x:f>COUNTIFS(Detail_All!$B$2:$B$172,A4,Detail_All!$N$2:$N$172,"&gt;0")/B4</x:f>
        <x:v>1</x:v>
      </x:c>
    </x:row>
    <x:row r="5">
      <x:c r="A5" t="str">
        <x:v>ETTm2</x:v>
      </x:c>
      <x:c r="B5" s="6" t="n">
        <x:f>COUNTIF(Detail_All!$B$2:$B$172,A5)</x:f>
        <x:v>24</x:v>
      </x:c>
      <x:c r="C5" s="5" t="n">
        <x:f>AVERAGEIF(Detail_All!$B$2:$B$172,A5,Detail_All!$I$2:$I$172)</x:f>
        <x:v>-0.013139571967837313</x:v>
      </x:c>
      <x:c r="D5" s="5" t="n">
        <x:f>AVERAGEIF(Detail_All!$B$2:$B$172,A5,Detail_All!$K$2:$K$172)</x:f>
        <x:v>-0.025491096031193056</x:v>
      </x:c>
      <x:c r="E5" s="5" t="n">
        <x:f>AVERAGEIF(Detail_All!$B$2:$B$172,A5,Detail_All!$M$2:$M$172)</x:f>
        <x:v>0.09243610069685465</x:v>
      </x:c>
      <x:c r="F5" s="5" t="n">
        <x:f>AVERAGEIF(Detail_All!$B$2:$B$172,A5,Detail_All!$O$2:$O$172)</x:f>
        <x:v>0.10016556267011421</x:v>
      </x:c>
      <x:c r="G5" s="5" t="n">
        <x:f>COUNTIFS(Detail_All!$B$2:$B$172,A5,Detail_All!$H$2:$H$172,"&gt;0")/B5</x:f>
        <x:v>0.2916666666666667</x:v>
      </x:c>
      <x:c r="H5" s="5" t="n">
        <x:f>COUNTIFS(Detail_All!$B$2:$B$172,A5,Detail_All!$J$2:$J$172,"&gt;0")/B5</x:f>
        <x:v>0.08333333333333333</x:v>
      </x:c>
      <x:c r="I5" s="5" t="n">
        <x:f>COUNTIFS(Detail_All!$B$2:$B$172,A5,Detail_All!$L$2:$L$172,"&gt;0")/B5</x:f>
        <x:v>0.9166666666666666</x:v>
      </x:c>
      <x:c r="J5" s="5" t="n">
        <x:f>COUNTIFS(Detail_All!$B$2:$B$172,A5,Detail_All!$N$2:$N$172,"&gt;0")/B5</x:f>
        <x:v>0.7083333333333334</x:v>
      </x:c>
    </x:row>
    <x:row r="6">
      <x:c r="A6" t="str">
        <x:v>Exchange Rate</x:v>
      </x:c>
      <x:c r="B6" s="6" t="n">
        <x:f>COUNTIF(Detail_All!$B$2:$B$172,A6)</x:f>
        <x:v>24</x:v>
      </x:c>
      <x:c r="C6" s="5" t="n">
        <x:f>AVERAGEIF(Detail_All!$B$2:$B$172,A6,Detail_All!$I$2:$I$172)</x:f>
        <x:v>0.2738381438693518</x:v>
      </x:c>
      <x:c r="D6" s="5" t="n">
        <x:f>AVERAGEIF(Detail_All!$B$2:$B$172,A6,Detail_All!$K$2:$K$172)</x:f>
        <x:v>0.1806524478182603</x:v>
      </x:c>
      <x:c r="E6" s="5" t="n">
        <x:f>AVERAGEIF(Detail_All!$B$2:$B$172,A6,Detail_All!$M$2:$M$172)</x:f>
        <x:v>0.013190122379631011</x:v>
      </x:c>
      <x:c r="F6" s="5" t="n">
        <x:f>AVERAGEIF(Detail_All!$B$2:$B$172,A6,Detail_All!$O$2:$O$172)</x:f>
        <x:v>0.14719344455308045</x:v>
      </x:c>
      <x:c r="G6" s="5" t="n">
        <x:f>COUNTIFS(Detail_All!$B$2:$B$172,A6,Detail_All!$H$2:$H$172,"&gt;0")/B6</x:f>
        <x:v>1</x:v>
      </x:c>
      <x:c r="H6" s="5" t="n">
        <x:f>COUNTIFS(Detail_All!$B$2:$B$172,A6,Detail_All!$J$2:$J$172,"&gt;0")/B6</x:f>
        <x:v>1</x:v>
      </x:c>
      <x:c r="I6" s="5" t="n">
        <x:f>COUNTIFS(Detail_All!$B$2:$B$172,A6,Detail_All!$L$2:$L$172,"&gt;0")/B6</x:f>
        <x:v>0.5833333333333334</x:v>
      </x:c>
      <x:c r="J6" s="5" t="n">
        <x:f>COUNTIFS(Detail_All!$B$2:$B$172,A6,Detail_All!$N$2:$N$172,"&gt;0")/B6</x:f>
        <x:v>0.75</x:v>
      </x:c>
    </x:row>
    <x:row r="7">
      <x:c r="A7" t="str">
        <x:v>weather</x:v>
      </x:c>
      <x:c r="B7" s="6" t="n">
        <x:f>COUNTIF(Detail_All!$B$2:$B$172,A7)</x:f>
        <x:v>24</x:v>
      </x:c>
      <x:c r="C7" s="5" t="n">
        <x:f>AVERAGEIF(Detail_All!$B$2:$B$172,A7,Detail_All!$I$2:$I$172)</x:f>
        <x:v>0.0006325148609262175</x:v>
      </x:c>
      <x:c r="D7" s="5" t="n">
        <x:f>AVERAGEIF(Detail_All!$B$2:$B$172,A7,Detail_All!$K$2:$K$172)</x:f>
        <x:v>-0.042317825917614564</x:v>
      </x:c>
      <x:c r="E7" s="5" t="n">
        <x:f>AVERAGEIF(Detail_All!$B$2:$B$172,A7,Detail_All!$M$2:$M$172)</x:f>
        <x:v>0.15643164306745672</x:v>
      </x:c>
      <x:c r="F7" s="5" t="n">
        <x:f>AVERAGEIF(Detail_All!$B$2:$B$172,A7,Detail_All!$O$2:$O$172)</x:f>
        <x:v>0.1837330961419561</x:v>
      </x:c>
      <x:c r="G7" s="5" t="n">
        <x:f>COUNTIFS(Detail_All!$B$2:$B$172,A7,Detail_All!$H$2:$H$172,"&gt;0")/B7</x:f>
        <x:v>0.5416666666666666</x:v>
      </x:c>
      <x:c r="H7" s="5" t="n">
        <x:f>COUNTIFS(Detail_All!$B$2:$B$172,A7,Detail_All!$J$2:$J$172,"&gt;0")/B7</x:f>
        <x:v>0.3333333333333333</x:v>
      </x:c>
      <x:c r="I7" s="5" t="n">
        <x:f>COUNTIFS(Detail_All!$B$2:$B$172,A7,Detail_All!$L$2:$L$172,"&gt;0")/B7</x:f>
        <x:v>0.9583333333333334</x:v>
      </x:c>
      <x:c r="J7" s="5" t="n">
        <x:f>COUNTIFS(Detail_All!$B$2:$B$172,A7,Detail_All!$N$2:$N$172,"&gt;0")/B7</x:f>
        <x:v>0.9583333333333334</x:v>
      </x:c>
    </x:row>
    <x:row r="8">
      <x:c r="A8" t="str">
        <x:v>electricity</x:v>
      </x:c>
      <x:c r="B8" s="6" t="n">
        <x:f>COUNTIF(Detail_All!$B$2:$B$172,A8)</x:f>
        <x:v>19</x:v>
      </x:c>
      <x:c r="C8" s="5" t="n">
        <x:f>AVERAGEIF(Detail_All!$B$2:$B$172,A8,Detail_All!$I$2:$I$172)</x:f>
        <x:v>0.040168335616843326</x:v>
      </x:c>
      <x:c r="D8" s="5" t="n">
        <x:f>AVERAGEIF(Detail_All!$B$2:$B$172,A8,Detail_All!$K$2:$K$172)</x:f>
        <x:v>0.05348782368673155</x:v>
      </x:c>
      <x:c r="E8" s="5" t="n">
        <x:f>AVERAGEIF(Detail_All!$B$2:$B$172,A8,Detail_All!$M$2:$M$172)</x:f>
        <x:v>0.024870109351324388</x:v>
      </x:c>
      <x:c r="F8" s="5" t="n">
        <x:f>AVERAGEIF(Detail_All!$B$2:$B$172,A8,Detail_All!$O$2:$O$172)</x:f>
        <x:v>0.010717971466727835</x:v>
      </x:c>
      <x:c r="G8" s="5" t="n">
        <x:f>COUNTIFS(Detail_All!$B$2:$B$172,A8,Detail_All!$H$2:$H$172,"&gt;0")/B8</x:f>
        <x:v>1</x:v>
      </x:c>
      <x:c r="H8" s="5" t="n">
        <x:f>COUNTIFS(Detail_All!$B$2:$B$172,A8,Detail_All!$J$2:$J$172,"&gt;0")/B8</x:f>
        <x:v>1</x:v>
      </x:c>
      <x:c r="I8" s="5" t="n">
        <x:f>COUNTIFS(Detail_All!$B$2:$B$172,A8,Detail_All!$L$2:$L$172,"&gt;0")/B8</x:f>
        <x:v>0.8421052631578947</x:v>
      </x:c>
      <x:c r="J8" s="5" t="n">
        <x:f>COUNTIFS(Detail_All!$B$2:$B$172,A8,Detail_All!$N$2:$N$172,"&gt;0")/B8</x:f>
        <x:v>0.7368421052631579</x:v>
      </x:c>
    </x:row>
    <x:row r="9">
      <x:c r="A9" t="str">
        <x:v>traffic</x:v>
      </x:c>
      <x:c r="B9" s="6" t="n">
        <x:f>COUNTIF(Detail_All!$B$2:$B$172,A9)</x:f>
        <x:v>8</x:v>
      </x:c>
      <x:c r="C9" s="5" t="n">
        <x:f>AVERAGEIF(Detail_All!$B$2:$B$172,A9,Detail_All!$I$2:$I$172)</x:f>
        <x:v>0.035089354968262015</x:v>
      </x:c>
      <x:c r="D9" s="5" t="n">
        <x:f>AVERAGEIF(Detail_All!$B$2:$B$172,A9,Detail_All!$K$2:$K$172)</x:f>
        <x:v>0.04327588792808981</x:v>
      </x:c>
      <x:c r="E9" s="5" t="n">
        <x:f>AVERAGEIF(Detail_All!$B$2:$B$172,A9,Detail_All!$M$2:$M$172)</x:f>
        <x:v>0.0030095256288718117</x:v>
      </x:c>
      <x:c r="F9" s="5" t="n">
        <x:f>AVERAGEIF(Detail_All!$B$2:$B$172,A9,Detail_All!$O$2:$O$172)</x:f>
        <x:v>-0.005593271943874331</x:v>
      </x:c>
      <x:c r="G9" s="5" t="n">
        <x:f>COUNTIFS(Detail_All!$B$2:$B$172,A9,Detail_All!$H$2:$H$172,"&gt;0")/B9</x:f>
        <x:v>1</x:v>
      </x:c>
      <x:c r="H9" s="5" t="n">
        <x:f>COUNTIFS(Detail_All!$B$2:$B$172,A9,Detail_All!$J$2:$J$172,"&gt;0")/B9</x:f>
        <x:v>0.875</x:v>
      </x:c>
      <x:c r="I9" s="5" t="n">
        <x:f>COUNTIFS(Detail_All!$B$2:$B$172,A9,Detail_All!$L$2:$L$172,"&gt;0")/B9</x:f>
        <x:v>0.75</x:v>
      </x:c>
      <x:c r="J9" s="5" t="n">
        <x:f>COUNTIFS(Detail_All!$B$2:$B$172,A9,Detail_All!$N$2:$N$172,"&gt;0")/B9</x:f>
        <x:v>0.25</x:v>
      </x:c>
    </x:row>
  </x:sheetData>
  <x:conditionalFormatting sqref="C2:F9">
    <x:cfRule type="cellIs" dxfId="20" priority="1" operator="greaterThan">
      <x:formula>0</x:formula>
    </x:cfRule>
    <x:cfRule type="cellIs" dxfId="2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016467205940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3.329999923706055" hidden="0" customWidth="1"/>
    <x:col min="3" max="3" width="8.890000343322754" hidden="0" customWidth="1"/>
    <x:col min="4" max="4" width="10" hidden="0" customWidth="1"/>
    <x:col min="5" max="5" width="10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1.670000076293945" hidden="0" customWidth="1"/>
    <x:col min="10" max="10" width="8.890000343322754" hidden="0" customWidth="1"/>
    <x:col min="12" max="12" width="16.670000076293945" hidden="0" customWidth="1"/>
    <x:col min="13" max="13" width="11.109999656677246" hidden="0" customWidth="1"/>
  </x:cols>
  <x:sheetData>
    <x:row r="1">
      <x:c r="A1" s="3" t="str">
        <x:v>Model</x:v>
      </x:c>
      <x:c r="B1" s="3" t="str">
        <x:v>Dataset</x:v>
      </x:c>
      <x:c r="C1" s="3" t="str">
        <x:v>Horizon</x:v>
      </x:c>
      <x:c r="D1" s="3" t="str">
        <x:v>From</x:v>
      </x:c>
      <x:c r="E1" s="3" t="str">
        <x:v>To</x:v>
      </x:c>
      <x:c r="F1" s="3" t="str">
        <x:v>From MSE</x:v>
      </x:c>
      <x:c r="G1" s="3" t="str">
        <x:v>To MSE</x:v>
      </x:c>
      <x:c r="H1" s="3" t="str">
        <x:v>Abs Drop</x:v>
      </x:c>
      <x:c r="I1" s="3" t="str">
        <x:v>% Improvement</x:v>
      </x:c>
      <x:c r="J1" s="3" t="str">
        <x:v>Improved?</x:v>
      </x:c>
      <x:c r="L1" s="8" t="str">
        <x:v>COSA-F improvement over Baseline</x:v>
      </x:c>
      <x:c r="M1" s="8"/>
      <x:c r="N1" s="8"/>
      <x:c r="O1" s="8"/>
    </x:row>
    <x:row r="2">
      <x:c r="A2" t="str">
        <x:v>iTransformer</x:v>
      </x:c>
      <x:c r="B2" t="str">
        <x:v>ETTh1</x:v>
      </x:c>
      <x:c r="C2" t="n">
        <x:v>96</x:v>
      </x:c>
      <x:c r="D2" t="str">
        <x:v>Baseline</x:v>
      </x:c>
      <x:c r="E2" t="str">
        <x:v>COSA-F</x:v>
      </x:c>
      <x:c r="F2" s="4" t="n">
        <x:v>0.4498666666666667</x:v>
      </x:c>
      <x:c r="G2" s="4" t="n">
        <x:v>0.42607852816581726</x:v>
      </x:c>
      <x:c r="H2" s="4" t="n">
        <x:f>IF(OR(F2="",G2=""),"",F2-G2)</x:f>
        <x:v>0.02378813850084943</x:v>
      </x:c>
      <x:c r="I2" s="5" t="n">
        <x:f>IFERROR(H2/F2,"")</x:f>
        <x:v>0.05287819761599607</x:v>
      </x:c>
      <x:c r="J2" t="str">
        <x:f>IF(H2&gt;0,"Yes",IF(H2&lt;0,"No","Tie"))</x:f>
        <x:v>Yes</x:v>
      </x:c>
      <x:c r="L2" t="str">
        <x:v>Metric</x:v>
      </x:c>
      <x:c r="M2" t="str">
        <x:v>Value</x:v>
      </x:c>
      <x:c r="N2"/>
      <x:c r="O2"/>
    </x:row>
    <x:row r="3">
      <x:c r="A3" t="str">
        <x:v>iTransformer</x:v>
      </x:c>
      <x:c r="B3" t="str">
        <x:v>ETTh1</x:v>
      </x:c>
      <x:c r="C3" t="n">
        <x:v>192</x:v>
      </x:c>
      <x:c r="D3" t="str">
        <x:v>Baseline</x:v>
      </x:c>
      <x:c r="E3" t="str">
        <x:v>COSA-F</x:v>
      </x:c>
      <x:c r="F3" s="4" t="n">
        <x:v>0.5133</x:v>
      </x:c>
      <x:c r="G3" s="4" t="n">
        <x:v>0.49191297094027203</x:v>
      </x:c>
      <x:c r="H3" s="4" t="n">
        <x:f>IF(OR(F3="",G3=""),"",F3-G3)</x:f>
        <x:v>0.021387029059727947</x:v>
      </x:c>
      <x:c r="I3" s="5" t="n">
        <x:f>IFERROR(H3/F3,"")</x:f>
        <x:v>0.04166574919097594</x:v>
      </x:c>
      <x:c r="J3" t="str">
        <x:f>IF(H3&gt;0,"Yes",IF(H3&lt;0,"No","Tie"))</x:f>
        <x:v>Yes</x:v>
      </x:c>
      <x:c r="L3" t="str">
        <x:v>N</x:v>
      </x:c>
      <x:c r="M3" s="6" t="n">
        <x:f>COUNT(H2:H172)</x:f>
        <x:v>171</x:v>
      </x:c>
      <x:c r="N3"/>
      <x:c r="O3"/>
    </x:row>
    <x:row r="4">
      <x:c r="A4" t="str">
        <x:v>iTransformer</x:v>
      </x:c>
      <x:c r="B4" t="str">
        <x:v>ETTh1</x:v>
      </x:c>
      <x:c r="C4" t="n">
        <x:v>336</x:v>
      </x:c>
      <x:c r="D4" t="str">
        <x:v>Baseline</x:v>
      </x:c>
      <x:c r="E4" t="str">
        <x:v>COSA-F</x:v>
      </x:c>
      <x:c r="F4" s="4" t="n">
        <x:v>0.5874</x:v>
      </x:c>
      <x:c r="G4" s="4" t="n">
        <x:v>0.5679084658622742</x:v>
      </x:c>
      <x:c r="H4" s="4" t="n">
        <x:f>IF(OR(F4="",G4=""),"",F4-G4)</x:f>
        <x:v>0.019491534137725863</x:v>
      </x:c>
      <x:c r="I4" s="5" t="n">
        <x:f>IFERROR(H4/F4,"")</x:f>
        <x:v>0.033182727507194185</x:v>
      </x:c>
      <x:c r="J4" t="str">
        <x:f>IF(H4&gt;0,"Yes",IF(H4&lt;0,"No","Tie"))</x:f>
        <x:v>Yes</x:v>
      </x:c>
      <x:c r="L4" t="str">
        <x:v>Avg % Improvement</x:v>
      </x:c>
      <x:c r="M4" s="5" t="n">
        <x:f>AVERAGE(I2:I172)</x:f>
        <x:v>0.06279869738296634</x:v>
      </x:c>
      <x:c r="N4"/>
      <x:c r="O4"/>
    </x:row>
    <x:row r="5">
      <x:c r="A5" t="str">
        <x:v>iTransformer</x:v>
      </x:c>
      <x:c r="B5" t="str">
        <x:v>ETTh1</x:v>
      </x:c>
      <x:c r="C5" t="n">
        <x:v>720</x:v>
      </x:c>
      <x:c r="D5" t="str">
        <x:v>Baseline</x:v>
      </x:c>
      <x:c r="E5" t="str">
        <x:v>COSA-F</x:v>
      </x:c>
      <x:c r="F5" s="4" t="n">
        <x:v>0.7347666666666667</x:v>
      </x:c>
      <x:c r="G5" s="4" t="n">
        <x:v>0.6394924918810526</x:v>
      </x:c>
      <x:c r="H5" s="4" t="n">
        <x:f>IF(OR(F5="",G5=""),"",F5-G5)</x:f>
        <x:v>0.09527417478561406</x:v>
      </x:c>
      <x:c r="I5" s="5" t="n">
        <x:f>IFERROR(H5/F5,"")</x:f>
        <x:v>0.12966589137451445</x:v>
      </x:c>
      <x:c r="J5" t="str">
        <x:f>IF(H5&gt;0,"Yes",IF(H5&lt;0,"No","Tie"))</x:f>
        <x:v>Yes</x:v>
      </x:c>
      <x:c r="L5" t="str">
        <x:v>Win Rate</x:v>
      </x:c>
      <x:c r="M5" s="5" t="n">
        <x:f>COUNTIF(H2:H172,"&gt;0")/M3</x:f>
        <x:v>0.7251461988304093</x:v>
      </x:c>
      <x:c r="N5"/>
      <x:c r="O5"/>
    </x:row>
    <x:row r="6">
      <x:c r="A6" t="str">
        <x:v>iTransformer</x:v>
      </x:c>
      <x:c r="B6" t="str">
        <x:v>ETTh2</x:v>
      </x:c>
      <x:c r="C6" t="n">
        <x:v>96</x:v>
      </x:c>
      <x:c r="D6" t="str">
        <x:v>Baseline</x:v>
      </x:c>
      <x:c r="E6" t="str">
        <x:v>COSA-F</x:v>
      </x:c>
      <x:c r="F6" s="4" t="n">
        <x:v>0.1981</x:v>
      </x:c>
      <x:c r="G6" s="4" t="n">
        <x:v>0.1981868545214335</x:v>
      </x:c>
      <x:c r="H6" s="4" t="n">
        <x:f>IF(OR(F6="",G6=""),"",F6-G6)</x:f>
        <x:v>-0.0000868545214335048</x:v>
      </x:c>
      <x:c r="I6" s="5" t="n">
        <x:f>IFERROR(H6/F6,"")</x:f>
        <x:v>-0.00043843776594399195</x:v>
      </x:c>
      <x:c r="J6" t="str">
        <x:f>IF(H6&gt;0,"Yes",IF(H6&lt;0,"No","Tie"))</x:f>
        <x:v>No</x:v>
      </x:c>
    </x:row>
    <x:row r="7">
      <x:c r="A7" t="str">
        <x:v>iTransformer</x:v>
      </x:c>
      <x:c r="B7" t="str">
        <x:v>ETTh2</x:v>
      </x:c>
      <x:c r="C7" t="n">
        <x:v>192</x:v>
      </x:c>
      <x:c r="D7" t="str">
        <x:v>Baseline</x:v>
      </x:c>
      <x:c r="E7" t="str">
        <x:v>COSA-F</x:v>
      </x:c>
      <x:c r="F7" s="4" t="n">
        <x:v>0.2417</x:v>
      </x:c>
      <x:c r="G7" s="4" t="n">
        <x:v>0.24355138838291168</x:v>
      </x:c>
      <x:c r="H7" s="4" t="n">
        <x:f>IF(OR(F7="",G7=""),"",F7-G7)</x:f>
        <x:v>-0.001851388382911684</x:v>
      </x:c>
      <x:c r="I7" s="5" t="n">
        <x:f>IFERROR(H7/F7,"")</x:f>
        <x:v>-0.007659860913991245</x:v>
      </x:c>
      <x:c r="J7" t="str">
        <x:f>IF(H7&gt;0,"Yes",IF(H7&lt;0,"No","Tie"))</x:f>
        <x:v>No</x:v>
      </x:c>
    </x:row>
    <x:row r="8">
      <x:c r="A8" t="str">
        <x:v>iTransformer</x:v>
      </x:c>
      <x:c r="B8" t="str">
        <x:v>ETTh2</x:v>
      </x:c>
      <x:c r="C8" t="n">
        <x:v>336</x:v>
      </x:c>
      <x:c r="D8" t="str">
        <x:v>Baseline</x:v>
      </x:c>
      <x:c r="E8" t="str">
        <x:v>COSA-F</x:v>
      </x:c>
      <x:c r="F8" s="4" t="n">
        <x:v>0.2671</x:v>
      </x:c>
      <x:c r="G8" s="4" t="n">
        <x:v>0.2575531204541524</x:v>
      </x:c>
      <x:c r="H8" s="4" t="n">
        <x:f>IF(OR(F8="",G8=""),"",F8-G8)</x:f>
        <x:v>0.009546879545847597</x:v>
      </x:c>
      <x:c r="I8" s="5" t="n">
        <x:f>IFERROR(H8/F8,"")</x:f>
        <x:v>0.035742716382806426</x:v>
      </x:c>
      <x:c r="J8" t="str">
        <x:f>IF(H8&gt;0,"Yes",IF(H8&lt;0,"No","Tie"))</x:f>
        <x:v>Yes</x:v>
      </x:c>
    </x:row>
    <x:row r="9">
      <x:c r="A9" t="str">
        <x:v>iTransformer</x:v>
      </x:c>
      <x:c r="B9" t="str">
        <x:v>ETTh2</x:v>
      </x:c>
      <x:c r="C9" t="n">
        <x:v>720</x:v>
      </x:c>
      <x:c r="D9" t="str">
        <x:v>Baseline</x:v>
      </x:c>
      <x:c r="E9" t="str">
        <x:v>COSA-F</x:v>
      </x:c>
      <x:c r="F9" s="4" t="n">
        <x:v>0.3339666666666667</x:v>
      </x:c>
      <x:c r="G9" s="4" t="n">
        <x:v>0.2856131891409556</x:v>
      </x:c>
      <x:c r="H9" s="4" t="n">
        <x:f>IF(OR(F9="",G9=""),"",F9-G9)</x:f>
        <x:v>0.048353477525711064</x:v>
      </x:c>
      <x:c r="I9" s="5" t="n">
        <x:f>IFERROR(H9/F9,"")</x:f>
        <x:v>0.14478534043031557</x:v>
      </x:c>
      <x:c r="J9" t="str">
        <x:f>IF(H9&gt;0,"Yes",IF(H9&lt;0,"No","Tie"))</x:f>
        <x:v>Yes</x:v>
      </x:c>
    </x:row>
    <x:row r="10">
      <x:c r="A10" t="str">
        <x:v>iTransformer</x:v>
      </x:c>
      <x:c r="B10" t="str">
        <x:v>ETTm1</x:v>
      </x:c>
      <x:c r="C10" t="n">
        <x:v>96</x:v>
      </x:c>
      <x:c r="D10" t="str">
        <x:v>Baseline</x:v>
      </x:c>
      <x:c r="E10" t="str">
        <x:v>COSA-F</x:v>
      </x:c>
      <x:c r="F10" s="4" t="n">
        <x:v>0.39953333333333335</x:v>
      </x:c>
      <x:c r="G10" s="4" t="n">
        <x:v>0.3563259343306224</x:v>
      </x:c>
      <x:c r="H10" s="4" t="n">
        <x:f>IF(OR(F10="",G10=""),"",F10-G10)</x:f>
        <x:v>0.04320739900271098</x:v>
      </x:c>
      <x:c r="I10" s="5" t="n">
        <x:f>IFERROR(H10/F10,"")</x:f>
        <x:v>0.1081446662841089</x:v>
      </x:c>
      <x:c r="J10" t="str">
        <x:f>IF(H10&gt;0,"Yes",IF(H10&lt;0,"No","Tie"))</x:f>
        <x:v>Yes</x:v>
      </x:c>
    </x:row>
    <x:row r="11">
      <x:c r="A11" t="str">
        <x:v>iTransformer</x:v>
      </x:c>
      <x:c r="B11" t="str">
        <x:v>ETTm1</x:v>
      </x:c>
      <x:c r="C11" t="n">
        <x:v>192</x:v>
      </x:c>
      <x:c r="D11" t="str">
        <x:v>Baseline</x:v>
      </x:c>
      <x:c r="E11" t="str">
        <x:v>COSA-F</x:v>
      </x:c>
      <x:c r="F11" s="4" t="n">
        <x:v>0.4421333333333333</x:v>
      </x:c>
      <x:c r="G11" s="4" t="n">
        <x:v>0.42378686865170795</x:v>
      </x:c>
      <x:c r="H11" s="4" t="n">
        <x:f>IF(OR(F11="",G11=""),"",F11-G11)</x:f>
        <x:v>0.018346464681625374</x:v>
      </x:c>
      <x:c r="I11" s="5" t="n">
        <x:f>IFERROR(H11/F11,"")</x:f>
        <x:v>0.04149532120391746</x:v>
      </x:c>
      <x:c r="J11" t="str">
        <x:f>IF(H11&gt;0,"Yes",IF(H11&lt;0,"No","Tie"))</x:f>
        <x:v>Yes</x:v>
      </x:c>
    </x:row>
    <x:row r="12">
      <x:c r="A12" t="str">
        <x:v>iTransformer</x:v>
      </x:c>
      <x:c r="B12" t="str">
        <x:v>ETTm1</x:v>
      </x:c>
      <x:c r="C12" t="n">
        <x:v>336</x:v>
      </x:c>
      <x:c r="D12" t="str">
        <x:v>Baseline</x:v>
      </x:c>
      <x:c r="E12" t="str">
        <x:v>COSA-F</x:v>
      </x:c>
      <x:c r="F12" s="4" t="n">
        <x:v>0.5099</x:v>
      </x:c>
      <x:c r="G12" s="4" t="n">
        <x:v>0.4945196807384491</x:v>
      </x:c>
      <x:c r="H12" s="4" t="n">
        <x:f>IF(OR(F12="",G12=""),"",F12-G12)</x:f>
        <x:v>0.015380319261550923</x:v>
      </x:c>
      <x:c r="I12" s="5" t="n">
        <x:f>IFERROR(H12/F12,"")</x:f>
        <x:v>0.03016340314091179</x:v>
      </x:c>
      <x:c r="J12" t="str">
        <x:f>IF(H12&gt;0,"Yes",IF(H12&lt;0,"No","Tie"))</x:f>
        <x:v>Yes</x:v>
      </x:c>
    </x:row>
    <x:row r="13">
      <x:c r="A13" t="str">
        <x:v>iTransformer</x:v>
      </x:c>
      <x:c r="B13" t="str">
        <x:v>ETTm1</x:v>
      </x:c>
      <x:c r="C13" t="n">
        <x:v>720</x:v>
      </x:c>
      <x:c r="D13" t="str">
        <x:v>Baseline</x:v>
      </x:c>
      <x:c r="E13" t="str">
        <x:v>COSA-F</x:v>
      </x:c>
      <x:c r="F13" s="4" t="n">
        <x:v>0.6108</x:v>
      </x:c>
      <x:c r="G13" s="4" t="n">
        <x:v>0.5516761740048727</x:v>
      </x:c>
      <x:c r="H13" s="4" t="n">
        <x:f>IF(OR(F13="",G13=""),"",F13-G13)</x:f>
        <x:v>0.05912382599512733</x:v>
      </x:c>
      <x:c r="I13" s="5" t="n">
        <x:f>IFERROR(H13/F13,"")</x:f>
        <x:v>0.09679735755587317</x:v>
      </x:c>
      <x:c r="J13" t="str">
        <x:f>IF(H13&gt;0,"Yes",IF(H13&lt;0,"No","Tie"))</x:f>
        <x:v>Yes</x:v>
      </x:c>
    </x:row>
    <x:row r="14">
      <x:c r="A14" t="str">
        <x:v>iTransformer</x:v>
      </x:c>
      <x:c r="B14" t="str">
        <x:v>ETTm2</x:v>
      </x:c>
      <x:c r="C14" t="n">
        <x:v>96</x:v>
      </x:c>
      <x:c r="D14" t="str">
        <x:v>Baseline</x:v>
      </x:c>
      <x:c r="E14" t="str">
        <x:v>COSA-F</x:v>
      </x:c>
      <x:c r="F14" s="4" t="n">
        <x:v>0.1251</x:v>
      </x:c>
      <x:c r="G14" s="4" t="n">
        <x:v>0.12785379588603973</x:v>
      </x:c>
      <x:c r="H14" s="4" t="n">
        <x:f>IF(OR(F14="",G14=""),"",F14-G14)</x:f>
        <x:v>-0.002753795886039745</x:v>
      </x:c>
      <x:c r="I14" s="5" t="n">
        <x:f>IFERROR(H14/F14,"")</x:f>
        <x:v>-0.02201275688281171</x:v>
      </x:c>
      <x:c r="J14" t="str">
        <x:f>IF(H14&gt;0,"Yes",IF(H14&lt;0,"No","Tie"))</x:f>
        <x:v>No</x:v>
      </x:c>
    </x:row>
    <x:row r="15">
      <x:c r="A15" t="str">
        <x:v>iTransformer</x:v>
      </x:c>
      <x:c r="B15" t="str">
        <x:v>ETTm2</x:v>
      </x:c>
      <x:c r="C15" t="n">
        <x:v>192</x:v>
      </x:c>
      <x:c r="D15" t="str">
        <x:v>Baseline</x:v>
      </x:c>
      <x:c r="E15" t="str">
        <x:v>COSA-F</x:v>
      </x:c>
      <x:c r="F15" s="4" t="n">
        <x:v>0.16163333333333332</x:v>
      </x:c>
      <x:c r="G15" s="4" t="n">
        <x:v>0.17514689763387045</x:v>
      </x:c>
      <x:c r="H15" s="4" t="n">
        <x:f>IF(OR(F15="",G15=""),"",F15-G15)</x:f>
        <x:v>-0.013513564300537129</x:v>
      </x:c>
      <x:c r="I15" s="5" t="n">
        <x:f>IFERROR(H15/F15,"")</x:f>
        <x:v>-0.0836062959406298</x:v>
      </x:c>
      <x:c r="J15" t="str">
        <x:f>IF(H15&gt;0,"Yes",IF(H15&lt;0,"No","Tie"))</x:f>
        <x:v>No</x:v>
      </x:c>
    </x:row>
    <x:row r="16">
      <x:c r="A16" t="str">
        <x:v>iTransformer</x:v>
      </x:c>
      <x:c r="B16" t="str">
        <x:v>ETTm2</x:v>
      </x:c>
      <x:c r="C16" t="n">
        <x:v>336</x:v>
      </x:c>
      <x:c r="D16" t="str">
        <x:v>Baseline</x:v>
      </x:c>
      <x:c r="E16" t="str">
        <x:v>COSA-F</x:v>
      </x:c>
      <x:c r="F16" s="4" t="n">
        <x:v>0.20093333333333332</x:v>
      </x:c>
      <x:c r="G16" s="4" t="n">
        <x:v>0.2137297143538793</x:v>
      </x:c>
      <x:c r="H16" s="4" t="n">
        <x:f>IF(OR(F16="",G16=""),"",F16-G16)</x:f>
        <x:v>-0.012796381020545977</x:v>
      </x:c>
      <x:c r="I16" s="5" t="n">
        <x:f>IFERROR(H16/F16,"")</x:f>
        <x:v>-0.0636847097903748</x:v>
      </x:c>
      <x:c r="J16" t="str">
        <x:f>IF(H16&gt;0,"Yes",IF(H16&lt;0,"No","Tie"))</x:f>
        <x:v>No</x:v>
      </x:c>
    </x:row>
    <x:row r="17">
      <x:c r="A17" t="str">
        <x:v>iTransformer</x:v>
      </x:c>
      <x:c r="B17" t="str">
        <x:v>ETTm2</x:v>
      </x:c>
      <x:c r="C17" t="n">
        <x:v>720</x:v>
      </x:c>
      <x:c r="D17" t="str">
        <x:v>Baseline</x:v>
      </x:c>
      <x:c r="E17" t="str">
        <x:v>COSA-F</x:v>
      </x:c>
      <x:c r="F17" s="4" t="n">
        <x:v>0.26203333333333334</x:v>
      </x:c>
      <x:c r="G17" s="4" t="n">
        <x:v>0.23543583353360495</x:v>
      </x:c>
      <x:c r="H17" s="4" t="n">
        <x:f>IF(OR(F17="",G17=""),"",F17-G17)</x:f>
        <x:v>0.02659749979972839</x:v>
      </x:c>
      <x:c r="I17" s="5" t="n">
        <x:f>IFERROR(H17/F17,"")</x:f>
        <x:v>0.10150426078003456</x:v>
      </x:c>
      <x:c r="J17" t="str">
        <x:f>IF(H17&gt;0,"Yes",IF(H17&lt;0,"No","Tie"))</x:f>
        <x:v>Yes</x:v>
      </x:c>
    </x:row>
    <x:row r="18">
      <x:c r="A18" t="str">
        <x:v>iTransformer</x:v>
      </x:c>
      <x:c r="B18" t="str">
        <x:v>Exchange Rate</x:v>
      </x:c>
      <x:c r="C18" t="n">
        <x:v>96</x:v>
      </x:c>
      <x:c r="D18" t="str">
        <x:v>Baseline</x:v>
      </x:c>
      <x:c r="E18" t="str">
        <x:v>COSA-F</x:v>
      </x:c>
      <x:c r="F18" s="4" t="n">
        <x:v>0.0927</x:v>
      </x:c>
      <x:c r="G18" s="4" t="n">
        <x:v>0.08934242029984792</x:v>
      </x:c>
      <x:c r="H18" s="4" t="n">
        <x:f>IF(OR(F18="",G18=""),"",F18-G18)</x:f>
        <x:v>0.0033575797001520885</x:v>
      </x:c>
      <x:c r="I18" s="5" t="n">
        <x:f>IFERROR(H18/F18,"")</x:f>
        <x:v>0.03621984574058348</x:v>
      </x:c>
      <x:c r="J18" t="str">
        <x:f>IF(H18&gt;0,"Yes",IF(H18&lt;0,"No","Tie"))</x:f>
        <x:v>Yes</x:v>
      </x:c>
    </x:row>
    <x:row r="19">
      <x:c r="A19" t="str">
        <x:v>iTransformer</x:v>
      </x:c>
      <x:c r="B19" t="str">
        <x:v>Exchange Rate</x:v>
      </x:c>
      <x:c r="C19" t="n">
        <x:v>192</x:v>
      </x:c>
      <x:c r="D19" t="str">
        <x:v>Baseline</x:v>
      </x:c>
      <x:c r="E19" t="str">
        <x:v>COSA-F</x:v>
      </x:c>
      <x:c r="F19" s="4" t="n">
        <x:v>0.19776666666666667</x:v>
      </x:c>
      <x:c r="G19" s="4" t="n">
        <x:v>0.17289159198602042</x:v>
      </x:c>
      <x:c r="H19" s="4" t="n">
        <x:f>IF(OR(F19="",G19=""),"",F19-G19)</x:f>
        <x:v>0.02487507468064626</x:v>
      </x:c>
      <x:c r="I19" s="5" t="n">
        <x:f>IFERROR(H19/F19,"")</x:f>
        <x:v>0.12577991579628986</x:v>
      </x:c>
      <x:c r="J19" t="str">
        <x:f>IF(H19&gt;0,"Yes",IF(H19&lt;0,"No","Tie"))</x:f>
        <x:v>Yes</x:v>
      </x:c>
    </x:row>
    <x:row r="20">
      <x:c r="A20" t="str">
        <x:v>iTransformer</x:v>
      </x:c>
      <x:c r="B20" t="str">
        <x:v>Exchange Rate</x:v>
      </x:c>
      <x:c r="C20" t="n">
        <x:v>336</x:v>
      </x:c>
      <x:c r="D20" t="str">
        <x:v>Baseline</x:v>
      </x:c>
      <x:c r="E20" t="str">
        <x:v>COSA-F</x:v>
      </x:c>
      <x:c r="F20" s="4" t="n">
        <x:v>0.3455333333333333</x:v>
      </x:c>
      <x:c r="G20" s="4" t="n">
        <x:v>0.2351749191681544</x:v>
      </x:c>
      <x:c r="H20" s="4" t="n">
        <x:f>IF(OR(F20="",G20=""),"",F20-G20)</x:f>
        <x:v>0.11035841416517891</x:v>
      </x:c>
      <x:c r="I20" s="5" t="n">
        <x:f>IFERROR(H20/F20,"")</x:f>
        <x:v>0.31938572496193013</x:v>
      </x:c>
      <x:c r="J20" t="str">
        <x:f>IF(H20&gt;0,"Yes",IF(H20&lt;0,"No","Tie"))</x:f>
        <x:v>Yes</x:v>
      </x:c>
    </x:row>
    <x:row r="21">
      <x:c r="A21" t="str">
        <x:v>iTransformer</x:v>
      </x:c>
      <x:c r="B21" t="str">
        <x:v>Exchange Rate</x:v>
      </x:c>
      <x:c r="C21" t="n">
        <x:v>720</x:v>
      </x:c>
      <x:c r="D21" t="str">
        <x:v>Baseline</x:v>
      </x:c>
      <x:c r="E21" t="str">
        <x:v>COSA-F</x:v>
      </x:c>
      <x:c r="F21" s="4" t="n">
        <x:v>0.9142333333333333</x:v>
      </x:c>
      <x:c r="G21" s="4" t="n">
        <x:v>0.3788573344548543</x:v>
      </x:c>
      <x:c r="H21" s="4" t="n">
        <x:f>IF(OR(F21="",G21=""),"",F21-G21)</x:f>
        <x:v>0.535375998878479</x:v>
      </x:c>
      <x:c r="I21" s="5" t="n">
        <x:f>IFERROR(H21/F21,"")</x:f>
        <x:v>0.5856010488334258</x:v>
      </x:c>
      <x:c r="J21" t="str">
        <x:f>IF(H21&gt;0,"Yes",IF(H21&lt;0,"No","Tie"))</x:f>
        <x:v>Yes</x:v>
      </x:c>
    </x:row>
    <x:row r="22">
      <x:c r="A22" t="str">
        <x:v>iTransformer</x:v>
      </x:c>
      <x:c r="B22" t="str">
        <x:v>weather</x:v>
      </x:c>
      <x:c r="C22" t="n">
        <x:v>96</x:v>
      </x:c>
      <x:c r="D22" t="str">
        <x:v>Baseline</x:v>
      </x:c>
      <x:c r="E22" t="str">
        <x:v>COSA-F</x:v>
      </x:c>
      <x:c r="F22" s="4" t="n">
        <x:v>0.17246666666666666</x:v>
      </x:c>
      <x:c r="G22" s="4" t="n">
        <x:v>0.16426657140254974</x:v>
      </x:c>
      <x:c r="H22" s="4" t="n">
        <x:f>IF(OR(F22="",G22=""),"",F22-G22)</x:f>
        <x:v>0.008200095264116913</x:v>
      </x:c>
      <x:c r="I22" s="5" t="n">
        <x:f>IFERROR(H22/F22,"")</x:f>
        <x:v>0.04754597176720282</x:v>
      </x:c>
      <x:c r="J22" t="str">
        <x:f>IF(H22&gt;0,"Yes",IF(H22&lt;0,"No","Tie"))</x:f>
        <x:v>Yes</x:v>
      </x:c>
    </x:row>
    <x:row r="23">
      <x:c r="A23" t="str">
        <x:v>iTransformer</x:v>
      </x:c>
      <x:c r="B23" t="str">
        <x:v>weather</x:v>
      </x:c>
      <x:c r="C23" t="n">
        <x:v>192</x:v>
      </x:c>
      <x:c r="D23" t="str">
        <x:v>Baseline</x:v>
      </x:c>
      <x:c r="E23" t="str">
        <x:v>COSA-F</x:v>
      </x:c>
      <x:c r="F23" s="4" t="n">
        <x:v>0.2265</x:v>
      </x:c>
      <x:c r="G23" s="4" t="n">
        <x:v>0.23318802316983542</x:v>
      </x:c>
      <x:c r="H23" s="4" t="n">
        <x:f>IF(OR(F23="",G23=""),"",F23-G23)</x:f>
        <x:v>-0.006688023169835411</x:v>
      </x:c>
      <x:c r="I23" s="5" t="n">
        <x:f>IFERROR(H23/F23,"")</x:f>
        <x:v>-0.029527696114063622</x:v>
      </x:c>
      <x:c r="J23" t="str">
        <x:f>IF(H23&gt;0,"Yes",IF(H23&lt;0,"No","Tie"))</x:f>
        <x:v>No</x:v>
      </x:c>
    </x:row>
    <x:row r="24">
      <x:c r="A24" t="str">
        <x:v>iTransformer</x:v>
      </x:c>
      <x:c r="B24" t="str">
        <x:v>weather</x:v>
      </x:c>
      <x:c r="C24" t="n">
        <x:v>336</x:v>
      </x:c>
      <x:c r="D24" t="str">
        <x:v>Baseline</x:v>
      </x:c>
      <x:c r="E24" t="str">
        <x:v>COSA-F</x:v>
      </x:c>
      <x:c r="F24" s="4" t="n">
        <x:v>0.2804</x:v>
      </x:c>
      <x:c r="G24" s="4" t="n">
        <x:v>0.2943750520547231</x:v>
      </x:c>
      <x:c r="H24" s="4" t="n">
        <x:f>IF(OR(F24="",G24=""),"",F24-G24)</x:f>
        <x:v>-0.013975052054723103</x:v>
      </x:c>
      <x:c r="I24" s="5" t="n">
        <x:f>IFERROR(H24/F24,"")</x:f>
        <x:v>-0.04983970062312091</x:v>
      </x:c>
      <x:c r="J24" t="str">
        <x:f>IF(H24&gt;0,"Yes",IF(H24&lt;0,"No","Tie"))</x:f>
        <x:v>No</x:v>
      </x:c>
    </x:row>
    <x:row r="25">
      <x:c r="A25" t="str">
        <x:v>iTransformer</x:v>
      </x:c>
      <x:c r="B25" t="str">
        <x:v>weather</x:v>
      </x:c>
      <x:c r="C25" t="n">
        <x:v>720</x:v>
      </x:c>
      <x:c r="D25" t="str">
        <x:v>Baseline</x:v>
      </x:c>
      <x:c r="E25" t="str">
        <x:v>COSA-F</x:v>
      </x:c>
      <x:c r="F25" s="4" t="n">
        <x:v>0.3565</x:v>
      </x:c>
      <x:c r="G25" s="4" t="n">
        <x:v>0.32412662108739215</x:v>
      </x:c>
      <x:c r="H25" s="4" t="n">
        <x:f>IF(OR(F25="",G25=""),"",F25-G25)</x:f>
        <x:v>0.03237337891260783</x:v>
      </x:c>
      <x:c r="I25" s="5" t="n">
        <x:f>IFERROR(H25/F25,"")</x:f>
        <x:v>0.09080891700591258</x:v>
      </x:c>
      <x:c r="J25" t="str">
        <x:f>IF(H25&gt;0,"Yes",IF(H25&lt;0,"No","Tie"))</x:f>
        <x:v>Yes</x:v>
      </x:c>
    </x:row>
    <x:row r="26">
      <x:c r="A26" t="str">
        <x:v>iTransformer</x:v>
      </x:c>
      <x:c r="B26" t="str">
        <x:v>electricity</x:v>
      </x:c>
      <x:c r="C26" t="n">
        <x:v>96</x:v>
      </x:c>
      <x:c r="D26" t="str">
        <x:v>Baseline</x:v>
      </x:c>
      <x:c r="E26" t="str">
        <x:v>COSA-F</x:v>
      </x:c>
      <x:c r="F26" s="4" t="n">
        <x:v>0.16583333333333333</x:v>
      </x:c>
      <x:c r="G26" s="4" t="n">
        <x:v>0.15975547830263773</x:v>
      </x:c>
      <x:c r="H26" s="4" t="n">
        <x:f>IF(OR(F26="",G26=""),"",F26-G26)</x:f>
        <x:v>0.006077855030695606</x:v>
      </x:c>
      <x:c r="I26" s="5" t="n">
        <x:f>IFERROR(H26/F26,"")</x:f>
        <x:v>0.03665038209464687</x:v>
      </x:c>
      <x:c r="J26" t="str">
        <x:f>IF(H26&gt;0,"Yes",IF(H26&lt;0,"No","Tie"))</x:f>
        <x:v>Yes</x:v>
      </x:c>
    </x:row>
    <x:row r="27">
      <x:c r="A27" t="str">
        <x:v>iTransformer</x:v>
      </x:c>
      <x:c r="B27" t="str">
        <x:v>electricity</x:v>
      </x:c>
      <x:c r="C27" t="n">
        <x:v>192</x:v>
      </x:c>
      <x:c r="D27" t="str">
        <x:v>Baseline</x:v>
      </x:c>
      <x:c r="E27" t="str">
        <x:v>COSA-F</x:v>
      </x:c>
      <x:c r="F27" s="4" t="n">
        <x:v>0.17930000000000001</x:v>
      </x:c>
      <x:c r="G27" s="4" t="n">
        <x:v>0.17201883594195047</x:v>
      </x:c>
      <x:c r="H27" s="4" t="n">
        <x:f>IF(OR(F27="",G27=""),"",F27-G27)</x:f>
        <x:v>0.007281164058049544</x:v>
      </x:c>
      <x:c r="I27" s="5" t="n">
        <x:f>IFERROR(H27/F27,"")</x:f>
        <x:v>0.04060883467958474</x:v>
      </x:c>
      <x:c r="J27" t="str">
        <x:f>IF(H27&gt;0,"Yes",IF(H27&lt;0,"No","Tie"))</x:f>
        <x:v>Yes</x:v>
      </x:c>
    </x:row>
    <x:row r="28">
      <x:c r="A28" t="str">
        <x:v>iTransformer</x:v>
      </x:c>
      <x:c r="B28" t="str">
        <x:v>electricity</x:v>
      </x:c>
      <x:c r="C28" t="n">
        <x:v>336</x:v>
      </x:c>
      <x:c r="D28" t="str">
        <x:v>Baseline</x:v>
      </x:c>
      <x:c r="E28" t="str">
        <x:v>COSA-F</x:v>
      </x:c>
      <x:c r="F28" s="4" t="n">
        <x:v>0.1948</x:v>
      </x:c>
      <x:c r="G28" s="4" t="n">
        <x:v>0.1819188048442205</x:v>
      </x:c>
      <x:c r="H28" s="4" t="n">
        <x:f>IF(OR(F28="",G28=""),"",F28-G28)</x:f>
        <x:v>0.012881195155779512</x:v>
      </x:c>
      <x:c r="I28" s="5" t="n">
        <x:f>IFERROR(H28/F28,"")</x:f>
        <x:v>0.06612523180584966</x:v>
      </x:c>
      <x:c r="J28" t="str">
        <x:f>IF(H28&gt;0,"Yes",IF(H28&lt;0,"No","Tie"))</x:f>
        <x:v>Yes</x:v>
      </x:c>
    </x:row>
    <x:row r="29">
      <x:c r="A29" t="str">
        <x:v>iTransformer</x:v>
      </x:c>
      <x:c r="B29" t="str">
        <x:v>electricity</x:v>
      </x:c>
      <x:c r="C29" t="n">
        <x:v>720</x:v>
      </x:c>
      <x:c r="D29" t="str">
        <x:v>Baseline</x:v>
      </x:c>
      <x:c r="E29" t="str">
        <x:v>COSA-F</x:v>
      </x:c>
      <x:c r="F29" s="4" t="n">
        <x:v>0.23333333333333334</x:v>
      </x:c>
      <x:c r="G29" s="4" t="n">
        <x:v>0.21030937631924948</x:v>
      </x:c>
      <x:c r="H29" s="4" t="n">
        <x:f>IF(OR(F29="",G29=""),"",F29-G29)</x:f>
        <x:v>0.023023957014083857</x:v>
      </x:c>
      <x:c r="I29" s="5" t="n">
        <x:f>IFERROR(H29/F29,"")</x:f>
        <x:v>0.09867410148893081</x:v>
      </x:c>
      <x:c r="J29" t="str">
        <x:f>IF(H29&gt;0,"Yes",IF(H29&lt;0,"No","Tie"))</x:f>
        <x:v>Yes</x:v>
      </x:c>
    </x:row>
    <x:row r="30">
      <x:c r="A30" t="str">
        <x:v>DLinear</x:v>
      </x:c>
      <x:c r="B30" t="str">
        <x:v>ETTh1</x:v>
      </x:c>
      <x:c r="C30" t="n">
        <x:v>96</x:v>
      </x:c>
      <x:c r="D30" t="str">
        <x:v>Baseline</x:v>
      </x:c>
      <x:c r="E30" t="str">
        <x:v>COSA-F</x:v>
      </x:c>
      <x:c r="F30" s="4" t="n">
        <x:v>0.4489</x:v>
      </x:c>
      <x:c r="G30" s="4" t="n">
        <x:v>0.4417733699083328</x:v>
      </x:c>
      <x:c r="H30" s="4" t="n">
        <x:f>IF(OR(F30="",G30=""),"",F30-G30)</x:f>
        <x:v>0.0071266300916671965</x:v>
      </x:c>
      <x:c r="I30" s="5" t="n">
        <x:f>IFERROR(H30/F30,"")</x:f>
        <x:v>0.015875763180368003</x:v>
      </x:c>
      <x:c r="J30" t="str">
        <x:f>IF(H30&gt;0,"Yes",IF(H30&lt;0,"No","Tie"))</x:f>
        <x:v>Yes</x:v>
      </x:c>
    </x:row>
    <x:row r="31">
      <x:c r="A31" t="str">
        <x:v>DLinear</x:v>
      </x:c>
      <x:c r="B31" t="str">
        <x:v>ETTh1</x:v>
      </x:c>
      <x:c r="C31" t="n">
        <x:v>192</x:v>
      </x:c>
      <x:c r="D31" t="str">
        <x:v>Baseline</x:v>
      </x:c>
      <x:c r="E31" t="str">
        <x:v>COSA-F</x:v>
      </x:c>
      <x:c r="F31" s="4" t="n">
        <x:v>0.5030666666666667</x:v>
      </x:c>
      <x:c r="G31" s="4" t="n">
        <x:v>0.5067201554775238</x:v>
      </x:c>
      <x:c r="H31" s="4" t="n">
        <x:f>IF(OR(F31="",G31=""),"",F31-G31)</x:f>
        <x:v>-0.0036534888108571417</x:v>
      </x:c>
      <x:c r="I31" s="5" t="n">
        <x:f>IFERROR(H31/F31,"")</x:f>
        <x:v>-0.007262434688955357</x:v>
      </x:c>
      <x:c r="J31" t="str">
        <x:f>IF(H31&gt;0,"Yes",IF(H31&lt;0,"No","Tie"))</x:f>
        <x:v>No</x:v>
      </x:c>
    </x:row>
    <x:row r="32">
      <x:c r="A32" t="str">
        <x:v>DLinear</x:v>
      </x:c>
      <x:c r="B32" t="str">
        <x:v>ETTh1</x:v>
      </x:c>
      <x:c r="C32" t="n">
        <x:v>336</x:v>
      </x:c>
      <x:c r="D32" t="str">
        <x:v>Baseline</x:v>
      </x:c>
      <x:c r="E32" t="str">
        <x:v>COSA-F</x:v>
      </x:c>
      <x:c r="F32" s="4" t="n">
        <x:v>0.5517333333333333</x:v>
      </x:c>
      <x:c r="G32" s="4" t="n">
        <x:v>0.562071681022644</x:v>
      </x:c>
      <x:c r="H32" s="4" t="n">
        <x:f>IF(OR(F32="",G32=""),"",F32-G32)</x:f>
        <x:v>-0.010338347689310745</x:v>
      </x:c>
      <x:c r="I32" s="5" t="n">
        <x:f>IFERROR(H32/F32,"")</x:f>
        <x:v>-0.018737942887827597</x:v>
      </x:c>
      <x:c r="J32" t="str">
        <x:f>IF(H32&gt;0,"Yes",IF(H32&lt;0,"No","Tie"))</x:f>
        <x:v>No</x:v>
      </x:c>
    </x:row>
    <x:row r="33">
      <x:c r="A33" t="str">
        <x:v>DLinear</x:v>
      </x:c>
      <x:c r="B33" t="str">
        <x:v>ETTh1</x:v>
      </x:c>
      <x:c r="C33" t="n">
        <x:v>720</x:v>
      </x:c>
      <x:c r="D33" t="str">
        <x:v>Baseline</x:v>
      </x:c>
      <x:c r="E33" t="str">
        <x:v>COSA-F</x:v>
      </x:c>
      <x:c r="F33" s="4" t="n">
        <x:v>0.7043666666666667</x:v>
      </x:c>
      <x:c r="G33" s="4" t="n">
        <x:v>0.6534022986888885</x:v>
      </x:c>
      <x:c r="H33" s="4" t="n">
        <x:f>IF(OR(F33="",G33=""),"",F33-G33)</x:f>
        <x:v>0.05096436797777815</x:v>
      </x:c>
      <x:c r="I33" s="5" t="n">
        <x:f>IFERROR(H33/F33,"")</x:f>
        <x:v>0.07235488331519305</x:v>
      </x:c>
      <x:c r="J33" t="str">
        <x:f>IF(H33&gt;0,"Yes",IF(H33&lt;0,"No","Tie"))</x:f>
        <x:v>Yes</x:v>
      </x:c>
    </x:row>
    <x:row r="34">
      <x:c r="A34" t="str">
        <x:v>DLinear</x:v>
      </x:c>
      <x:c r="B34" t="str">
        <x:v>ETTh2</x:v>
      </x:c>
      <x:c r="C34" t="n">
        <x:v>96</x:v>
      </x:c>
      <x:c r="D34" t="str">
        <x:v>Baseline</x:v>
      </x:c>
      <x:c r="E34" t="str">
        <x:v>COSA-F</x:v>
      </x:c>
      <x:c r="F34" s="4" t="n">
        <x:v>0.1792</x:v>
      </x:c>
      <x:c r="G34" s="4" t="n">
        <x:v>0.17986025661230087</x:v>
      </x:c>
      <x:c r="H34" s="4" t="n">
        <x:f>IF(OR(F34="",G34=""),"",F34-G34)</x:f>
        <x:v>-0.0006602566123008746</x:v>
      </x:c>
      <x:c r="I34" s="5" t="n">
        <x:f>IFERROR(H34/F34,"")</x:f>
        <x:v>-0.003684467702571845</x:v>
      </x:c>
      <x:c r="J34" t="str">
        <x:f>IF(H34&gt;0,"Yes",IF(H34&lt;0,"No","Tie"))</x:f>
        <x:v>No</x:v>
      </x:c>
    </x:row>
    <x:row r="35">
      <x:c r="A35" t="str">
        <x:v>DLinear</x:v>
      </x:c>
      <x:c r="B35" t="str">
        <x:v>ETTh2</x:v>
      </x:c>
      <x:c r="C35" t="n">
        <x:v>192</x:v>
      </x:c>
      <x:c r="D35" t="str">
        <x:v>Baseline</x:v>
      </x:c>
      <x:c r="E35" t="str">
        <x:v>COSA-F</x:v>
      </x:c>
      <x:c r="F35" s="4" t="n">
        <x:v>0.22106666666666666</x:v>
      </x:c>
      <x:c r="G35" s="4" t="n">
        <x:v>0.22802142798900604</x:v>
      </x:c>
      <x:c r="H35" s="4" t="n">
        <x:f>IF(OR(F35="",G35=""),"",F35-G35)</x:f>
        <x:v>-0.006954761322339381</x:v>
      </x:c>
      <x:c r="I35" s="5" t="n">
        <x:f>IFERROR(H35/F35,"")</x:f>
        <x:v>-0.03146001804435788</x:v>
      </x:c>
      <x:c r="J35" t="str">
        <x:f>IF(H35&gt;0,"Yes",IF(H35&lt;0,"No","Tie"))</x:f>
        <x:v>No</x:v>
      </x:c>
    </x:row>
    <x:row r="36">
      <x:c r="A36" t="str">
        <x:v>DLinear</x:v>
      </x:c>
      <x:c r="B36" t="str">
        <x:v>ETTh2</x:v>
      </x:c>
      <x:c r="C36" t="n">
        <x:v>336</x:v>
      </x:c>
      <x:c r="D36" t="str">
        <x:v>Baseline</x:v>
      </x:c>
      <x:c r="E36" t="str">
        <x:v>COSA-F</x:v>
      </x:c>
      <x:c r="F36" s="4" t="n">
        <x:v>0.2507</x:v>
      </x:c>
      <x:c r="G36" s="4" t="n">
        <x:v>0.2520225793123245</x:v>
      </x:c>
      <x:c r="H36" s="4" t="n">
        <x:f>IF(OR(F36="",G36=""),"",F36-G36)</x:f>
        <x:v>-0.0013225793123245455</x:v>
      </x:c>
      <x:c r="I36" s="5" t="n">
        <x:f>IFERROR(H36/F36,"")</x:f>
        <x:v>-0.005275545721278602</x:v>
      </x:c>
      <x:c r="J36" t="str">
        <x:f>IF(H36&gt;0,"Yes",IF(H36&lt;0,"No","Tie"))</x:f>
        <x:v>No</x:v>
      </x:c>
    </x:row>
    <x:row r="37">
      <x:c r="A37" t="str">
        <x:v>DLinear</x:v>
      </x:c>
      <x:c r="B37" t="str">
        <x:v>ETTh2</x:v>
      </x:c>
      <x:c r="C37" t="n">
        <x:v>720</x:v>
      </x:c>
      <x:c r="D37" t="str">
        <x:v>Baseline</x:v>
      </x:c>
      <x:c r="E37" t="str">
        <x:v>COSA-F</x:v>
      </x:c>
      <x:c r="F37" s="4" t="n">
        <x:v>0.3149</x:v>
      </x:c>
      <x:c r="G37" s="4" t="n">
        <x:v>0.27618786692619324</x:v>
      </x:c>
      <x:c r="H37" s="4" t="n">
        <x:f>IF(OR(F37="",G37=""),"",F37-G37)</x:f>
        <x:v>0.038712133073806776</x:v>
      </x:c>
      <x:c r="I37" s="5" t="n">
        <x:f>IFERROR(H37/F37,"")</x:f>
        <x:v>0.12293468743666806</x:v>
      </x:c>
      <x:c r="J37" t="str">
        <x:f>IF(H37&gt;0,"Yes",IF(H37&lt;0,"No","Tie"))</x:f>
        <x:v>Yes</x:v>
      </x:c>
    </x:row>
    <x:row r="38">
      <x:c r="A38" t="str">
        <x:v>DLinear</x:v>
      </x:c>
      <x:c r="B38" t="str">
        <x:v>ETTm1</x:v>
      </x:c>
      <x:c r="C38" t="n">
        <x:v>96</x:v>
      </x:c>
      <x:c r="D38" t="str">
        <x:v>Baseline</x:v>
      </x:c>
      <x:c r="E38" t="str">
        <x:v>COSA-F</x:v>
      </x:c>
      <x:c r="F38" s="4" t="n">
        <x:v>0.36196666666666666</x:v>
      </x:c>
      <x:c r="G38" s="4" t="n">
        <x:v>0.3495454490184784</x:v>
      </x:c>
      <x:c r="H38" s="4" t="n">
        <x:f>IF(OR(F38="",G38=""),"",F38-G38)</x:f>
        <x:v>0.012421217648188265</x:v>
      </x:c>
      <x:c r="I38" s="5" t="n">
        <x:f>IFERROR(H38/F38,"")</x:f>
        <x:v>0.03431591577913693</x:v>
      </x:c>
      <x:c r="J38" t="str">
        <x:f>IF(H38&gt;0,"Yes",IF(H38&lt;0,"No","Tie"))</x:f>
        <x:v>Yes</x:v>
      </x:c>
    </x:row>
    <x:row r="39">
      <x:c r="A39" t="str">
        <x:v>DLinear</x:v>
      </x:c>
      <x:c r="B39" t="str">
        <x:v>ETTm1</x:v>
      </x:c>
      <x:c r="C39" t="n">
        <x:v>192</x:v>
      </x:c>
      <x:c r="D39" t="str">
        <x:v>Baseline</x:v>
      </x:c>
      <x:c r="E39" t="str">
        <x:v>COSA-F</x:v>
      </x:c>
      <x:c r="F39" s="4" t="n">
        <x:v>0.43206666666666665</x:v>
      </x:c>
      <x:c r="G39" s="4" t="n">
        <x:v>0.42623889446258545</x:v>
      </x:c>
      <x:c r="H39" s="4" t="n">
        <x:f>IF(OR(F39="",G39=""),"",F39-G39)</x:f>
        <x:v>0.005827772204081205</x:v>
      </x:c>
      <x:c r="I39" s="5" t="n">
        <x:f>IFERROR(H39/F39,"")</x:f>
        <x:v>0.013488131933531567</x:v>
      </x:c>
      <x:c r="J39" t="str">
        <x:f>IF(H39&gt;0,"Yes",IF(H39&lt;0,"No","Tie"))</x:f>
        <x:v>Yes</x:v>
      </x:c>
    </x:row>
    <x:row r="40">
      <x:c r="A40" t="str">
        <x:v>DLinear</x:v>
      </x:c>
      <x:c r="B40" t="str">
        <x:v>ETTm1</x:v>
      </x:c>
      <x:c r="C40" t="n">
        <x:v>336</x:v>
      </x:c>
      <x:c r="D40" t="str">
        <x:v>Baseline</x:v>
      </x:c>
      <x:c r="E40" t="str">
        <x:v>COSA-F</x:v>
      </x:c>
      <x:c r="F40" s="4" t="n">
        <x:v>0.5048666666666667</x:v>
      </x:c>
      <x:c r="G40" s="4" t="n">
        <x:v>0.5020084381103516</x:v>
      </x:c>
      <x:c r="H40" s="4" t="n">
        <x:f>IF(OR(F40="",G40=""),"",F40-G40)</x:f>
        <x:v>0.0028582285563151233</x:v>
      </x:c>
      <x:c r="I40" s="5" t="n">
        <x:f>IFERROR(H40/F40,"")</x:f>
        <x:v>0.005661353274095715</x:v>
      </x:c>
      <x:c r="J40" t="str">
        <x:f>IF(H40&gt;0,"Yes",IF(H40&lt;0,"No","Tie"))</x:f>
        <x:v>Yes</x:v>
      </x:c>
    </x:row>
    <x:row r="41">
      <x:c r="A41" t="str">
        <x:v>DLinear</x:v>
      </x:c>
      <x:c r="B41" t="str">
        <x:v>ETTm1</x:v>
      </x:c>
      <x:c r="C41" t="n">
        <x:v>720</x:v>
      </x:c>
      <x:c r="D41" t="str">
        <x:v>Baseline</x:v>
      </x:c>
      <x:c r="E41" t="str">
        <x:v>COSA-F</x:v>
      </x:c>
      <x:c r="F41" s="4" t="n">
        <x:v>0.5797666666666667</x:v>
      </x:c>
      <x:c r="G41" s="4" t="n">
        <x:v>0.5418244004249573</x:v>
      </x:c>
      <x:c r="H41" s="4" t="n">
        <x:f>IF(OR(F41="",G41=""),"",F41-G41)</x:f>
        <x:v>0.03794226624170938</x:v>
      </x:c>
      <x:c r="I41" s="5" t="n">
        <x:f>IFERROR(H41/F41,"")</x:f>
        <x:v>0.06544402847417244</x:v>
      </x:c>
      <x:c r="J41" t="str">
        <x:f>IF(H41&gt;0,"Yes",IF(H41&lt;0,"No","Tie"))</x:f>
        <x:v>Yes</x:v>
      </x:c>
    </x:row>
    <x:row r="42">
      <x:c r="A42" t="str">
        <x:v>DLinear</x:v>
      </x:c>
      <x:c r="B42" t="str">
        <x:v>ETTm2</x:v>
      </x:c>
      <x:c r="C42" t="n">
        <x:v>96</x:v>
      </x:c>
      <x:c r="D42" t="str">
        <x:v>Baseline</x:v>
      </x:c>
      <x:c r="E42" t="str">
        <x:v>COSA-F</x:v>
      </x:c>
      <x:c r="F42" s="4" t="n">
        <x:v>0.1211</x:v>
      </x:c>
      <x:c r="G42" s="4" t="n">
        <x:v>0.12250127270817757</x:v>
      </x:c>
      <x:c r="H42" s="4" t="n">
        <x:f>IF(OR(F42="",G42=""),"",F42-G42)</x:f>
        <x:v>-0.0014012727081775672</x:v>
      </x:c>
      <x:c r="I42" s="5" t="n">
        <x:f>IFERROR(H42/F42,"")</x:f>
        <x:v>-0.011571203205429953</x:v>
      </x:c>
      <x:c r="J42" t="str">
        <x:f>IF(H42&gt;0,"Yes",IF(H42&lt;0,"No","Tie"))</x:f>
        <x:v>No</x:v>
      </x:c>
    </x:row>
    <x:row r="43">
      <x:c r="A43" t="str">
        <x:v>DLinear</x:v>
      </x:c>
      <x:c r="B43" t="str">
        <x:v>ETTm2</x:v>
      </x:c>
      <x:c r="C43" t="n">
        <x:v>192</x:v>
      </x:c>
      <x:c r="D43" t="str">
        <x:v>Baseline</x:v>
      </x:c>
      <x:c r="E43" t="str">
        <x:v>COSA-F</x:v>
      </x:c>
      <x:c r="F43" s="4" t="n">
        <x:v>0.14923333333333333</x:v>
      </x:c>
      <x:c r="G43" s="4" t="n">
        <x:v>0.16379431635141373</x:v>
      </x:c>
      <x:c r="H43" s="4" t="n">
        <x:f>IF(OR(F43="",G43=""),"",F43-G43)</x:f>
        <x:v>-0.014560983018080398</x:v>
      </x:c>
      <x:c r="I43" s="5" t="n">
        <x:f>IFERROR(H43/F43,"")</x:f>
        <x:v>-0.09757192105034888</x:v>
      </x:c>
      <x:c r="J43" t="str">
        <x:f>IF(H43&gt;0,"Yes",IF(H43&lt;0,"No","Tie"))</x:f>
        <x:v>No</x:v>
      </x:c>
    </x:row>
    <x:row r="44">
      <x:c r="A44" t="str">
        <x:v>DLinear</x:v>
      </x:c>
      <x:c r="B44" t="str">
        <x:v>ETTm2</x:v>
      </x:c>
      <x:c r="C44" t="n">
        <x:v>336</x:v>
      </x:c>
      <x:c r="D44" t="str">
        <x:v>Baseline</x:v>
      </x:c>
      <x:c r="E44" t="str">
        <x:v>COSA-F</x:v>
      </x:c>
      <x:c r="F44" s="4" t="n">
        <x:v>0.1827</x:v>
      </x:c>
      <x:c r="G44" s="4" t="n">
        <x:v>0.1895742043852806</x:v>
      </x:c>
      <x:c r="H44" s="4" t="n">
        <x:f>IF(OR(F44="",G44=""),"",F44-G44)</x:f>
        <x:v>-0.006874204385280608</x:v>
      </x:c>
      <x:c r="I44" s="5" t="n">
        <x:f>IFERROR(H44/F44,"")</x:f>
        <x:v>-0.03762563976617738</x:v>
      </x:c>
      <x:c r="J44" t="str">
        <x:f>IF(H44&gt;0,"Yes",IF(H44&lt;0,"No","Tie"))</x:f>
        <x:v>No</x:v>
      </x:c>
    </x:row>
    <x:row r="45">
      <x:c r="A45" t="str">
        <x:v>DLinear</x:v>
      </x:c>
      <x:c r="B45" t="str">
        <x:v>ETTm2</x:v>
      </x:c>
      <x:c r="C45" t="n">
        <x:v>720</x:v>
      </x:c>
      <x:c r="D45" t="str">
        <x:v>Baseline</x:v>
      </x:c>
      <x:c r="E45" t="str">
        <x:v>COSA-F</x:v>
      </x:c>
      <x:c r="F45" s="4" t="n">
        <x:v>0.24096666666666666</x:v>
      </x:c>
      <x:c r="G45" s="4" t="n">
        <x:v>0.21949848532676697</x:v>
      </x:c>
      <x:c r="H45" s="4" t="n">
        <x:f>IF(OR(F45="",G45=""),"",F45-G45)</x:f>
        <x:v>0.021468181339899695</x:v>
      </x:c>
      <x:c r="I45" s="5" t="n">
        <x:f>IFERROR(H45/F45,"")</x:f>
        <x:v>0.08909191315493026</x:v>
      </x:c>
      <x:c r="J45" t="str">
        <x:f>IF(H45&gt;0,"Yes",IF(H45&lt;0,"No","Tie"))</x:f>
        <x:v>Yes</x:v>
      </x:c>
    </x:row>
    <x:row r="46">
      <x:c r="A46" t="str">
        <x:v>DLinear</x:v>
      </x:c>
      <x:c r="B46" t="str">
        <x:v>Exchange Rate</x:v>
      </x:c>
      <x:c r="C46" t="n">
        <x:v>96</x:v>
      </x:c>
      <x:c r="D46" t="str">
        <x:v>Baseline</x:v>
      </x:c>
      <x:c r="E46" t="str">
        <x:v>COSA-F</x:v>
      </x:c>
      <x:c r="F46" s="4" t="n">
        <x:v>0.0862</x:v>
      </x:c>
      <x:c r="G46" s="4" t="n">
        <x:v>0.08432021737098694</x:v>
      </x:c>
      <x:c r="H46" s="4" t="n">
        <x:f>IF(OR(F46="",G46=""),"",F46-G46)</x:f>
        <x:v>0.0018797826290130604</x:v>
      </x:c>
      <x:c r="I46" s="5" t="n">
        <x:f>IFERROR(H46/F46,"")</x:f>
        <x:v>0.021807223074397454</x:v>
      </x:c>
      <x:c r="J46" t="str">
        <x:f>IF(H46&gt;0,"Yes",IF(H46&lt;0,"No","Tie"))</x:f>
        <x:v>Yes</x:v>
      </x:c>
    </x:row>
    <x:row r="47">
      <x:c r="A47" t="str">
        <x:v>DLinear</x:v>
      </x:c>
      <x:c r="B47" t="str">
        <x:v>Exchange Rate</x:v>
      </x:c>
      <x:c r="C47" t="n">
        <x:v>192</x:v>
      </x:c>
      <x:c r="D47" t="str">
        <x:v>Baseline</x:v>
      </x:c>
      <x:c r="E47" t="str">
        <x:v>COSA-F</x:v>
      </x:c>
      <x:c r="F47" s="4" t="n">
        <x:v>0.17656666666666665</x:v>
      </x:c>
      <x:c r="G47" s="4" t="n">
        <x:v>0.15921810269355774</x:v>
      </x:c>
      <x:c r="H47" s="4" t="n">
        <x:f>IF(OR(F47="",G47=""),"",F47-G47)</x:f>
        <x:v>0.01734856397310891</x:v>
      </x:c>
      <x:c r="I47" s="5" t="n">
        <x:f>IFERROR(H47/F47,"")</x:f>
        <x:v>0.09825503477312958</x:v>
      </x:c>
      <x:c r="J47" t="str">
        <x:f>IF(H47&gt;0,"Yes",IF(H47&lt;0,"No","Tie"))</x:f>
        <x:v>Yes</x:v>
      </x:c>
    </x:row>
    <x:row r="48">
      <x:c r="A48" t="str">
        <x:v>DLinear</x:v>
      </x:c>
      <x:c r="B48" t="str">
        <x:v>Exchange Rate</x:v>
      </x:c>
      <x:c r="C48" t="n">
        <x:v>336</x:v>
      </x:c>
      <x:c r="D48" t="str">
        <x:v>Baseline</x:v>
      </x:c>
      <x:c r="E48" t="str">
        <x:v>COSA-F</x:v>
      </x:c>
      <x:c r="F48" s="4" t="n">
        <x:v>0.32193333333333335</x:v>
      </x:c>
      <x:c r="G48" s="4" t="n">
        <x:v>0.21998795121908188</x:v>
      </x:c>
      <x:c r="H48" s="4" t="n">
        <x:f>IF(OR(F48="",G48=""),"",F48-G48)</x:f>
        <x:v>0.10194538211425147</x:v>
      </x:c>
      <x:c r="I48" s="5" t="n">
        <x:f>IFERROR(H48/F48,"")</x:f>
        <x:v>0.31666612791753407</x:v>
      </x:c>
      <x:c r="J48" t="str">
        <x:f>IF(H48&gt;0,"Yes",IF(H48&lt;0,"No","Tie"))</x:f>
        <x:v>Yes</x:v>
      </x:c>
    </x:row>
    <x:row r="49">
      <x:c r="A49" t="str">
        <x:v>DLinear</x:v>
      </x:c>
      <x:c r="B49" t="str">
        <x:v>Exchange Rate</x:v>
      </x:c>
      <x:c r="C49" t="n">
        <x:v>720</x:v>
      </x:c>
      <x:c r="D49" t="str">
        <x:v>Baseline</x:v>
      </x:c>
      <x:c r="E49" t="str">
        <x:v>COSA-F</x:v>
      </x:c>
      <x:c r="F49" s="4" t="n">
        <x:v>0.8387</x:v>
      </x:c>
      <x:c r="G49" s="4" t="n">
        <x:v>0.32716579735279083</x:v>
      </x:c>
      <x:c r="H49" s="4" t="n">
        <x:f>IF(OR(F49="",G49=""),"",F49-G49)</x:f>
        <x:v>0.5115342026472092</x:v>
      </x:c>
      <x:c r="I49" s="5" t="n">
        <x:f>IFERROR(H49/F49,"")</x:f>
        <x:v>0.6099132021547743</x:v>
      </x:c>
      <x:c r="J49" t="str">
        <x:f>IF(H49&gt;0,"Yes",IF(H49&lt;0,"No","Tie"))</x:f>
        <x:v>Yes</x:v>
      </x:c>
    </x:row>
    <x:row r="50">
      <x:c r="A50" t="str">
        <x:v>DLinear</x:v>
      </x:c>
      <x:c r="B50" t="str">
        <x:v>weather</x:v>
      </x:c>
      <x:c r="C50" t="n">
        <x:v>96</x:v>
      </x:c>
      <x:c r="D50" t="str">
        <x:v>Baseline</x:v>
      </x:c>
      <x:c r="E50" t="str">
        <x:v>COSA-F</x:v>
      </x:c>
      <x:c r="F50" s="4" t="n">
        <x:v>0.19523333333333334</x:v>
      </x:c>
      <x:c r="G50" s="4" t="n">
        <x:v>0.18859661370515823</x:v>
      </x:c>
      <x:c r="H50" s="4" t="n">
        <x:f>IF(OR(F50="",G50=""),"",F50-G50)</x:f>
        <x:v>0.006636719628175108</x:v>
      </x:c>
      <x:c r="I50" s="5" t="n">
        <x:f>IFERROR(H50/F50,"")</x:f>
        <x:v>0.03399378330975811</x:v>
      </x:c>
      <x:c r="J50" t="str">
        <x:f>IF(H50&gt;0,"Yes",IF(H50&lt;0,"No","Tie"))</x:f>
        <x:v>Yes</x:v>
      </x:c>
    </x:row>
    <x:row r="51">
      <x:c r="A51" t="str">
        <x:v>DLinear</x:v>
      </x:c>
      <x:c r="B51" t="str">
        <x:v>weather</x:v>
      </x:c>
      <x:c r="C51" t="n">
        <x:v>192</x:v>
      </x:c>
      <x:c r="D51" t="str">
        <x:v>Baseline</x:v>
      </x:c>
      <x:c r="E51" t="str">
        <x:v>COSA-F</x:v>
      </x:c>
      <x:c r="F51" s="4" t="n">
        <x:v>0.24016666666666667</x:v>
      </x:c>
      <x:c r="G51" s="4" t="n">
        <x:v>0.24252643436193466</x:v>
      </x:c>
      <x:c r="H51" s="4" t="n">
        <x:f>IF(OR(F51="",G51=""),"",F51-G51)</x:f>
        <x:v>-0.0023597676952679947</x:v>
      </x:c>
      <x:c r="I51" s="5" t="n">
        <x:f>IFERROR(H51/F51,"")</x:f>
        <x:v>-0.009825542103822324</x:v>
      </x:c>
      <x:c r="J51" t="str">
        <x:f>IF(H51&gt;0,"Yes",IF(H51&lt;0,"No","Tie"))</x:f>
        <x:v>No</x:v>
      </x:c>
    </x:row>
    <x:row r="52">
      <x:c r="A52" t="str">
        <x:v>DLinear</x:v>
      </x:c>
      <x:c r="B52" t="str">
        <x:v>weather</x:v>
      </x:c>
      <x:c r="C52" t="n">
        <x:v>336</x:v>
      </x:c>
      <x:c r="D52" t="str">
        <x:v>Baseline</x:v>
      </x:c>
      <x:c r="E52" t="str">
        <x:v>COSA-F</x:v>
      </x:c>
      <x:c r="F52" s="4" t="n">
        <x:v>0.2917666666666667</x:v>
      </x:c>
      <x:c r="G52" s="4" t="n">
        <x:v>0.309137687087059</x:v>
      </x:c>
      <x:c r="H52" s="4" t="n">
        <x:f>IF(OR(F52="",G52=""),"",F52-G52)</x:f>
        <x:v>-0.017371020420392347</x:v>
      </x:c>
      <x:c r="I52" s="5" t="n">
        <x:f>IFERROR(H52/F52,"")</x:f>
        <x:v>-0.05953737148540733</x:v>
      </x:c>
      <x:c r="J52" t="str">
        <x:f>IF(H52&gt;0,"Yes",IF(H52&lt;0,"No","Tie"))</x:f>
        <x:v>No</x:v>
      </x:c>
    </x:row>
    <x:row r="53">
      <x:c r="A53" t="str">
        <x:v>DLinear</x:v>
      </x:c>
      <x:c r="B53" t="str">
        <x:v>weather</x:v>
      </x:c>
      <x:c r="C53" t="n">
        <x:v>720</x:v>
      </x:c>
      <x:c r="D53" t="str">
        <x:v>Baseline</x:v>
      </x:c>
      <x:c r="E53" t="str">
        <x:v>COSA-F</x:v>
      </x:c>
      <x:c r="F53" s="4" t="n">
        <x:v>0.36433333333333334</x:v>
      </x:c>
      <x:c r="G53" s="4" t="n">
        <x:v>0.335310623049736</x:v>
      </x:c>
      <x:c r="H53" s="4" t="n">
        <x:f>IF(OR(F53="",G53=""),"",F53-G53)</x:f>
        <x:v>0.02902271028359732</x:v>
      </x:c>
      <x:c r="I53" s="5" t="n">
        <x:f>IFERROR(H53/F53,"")</x:f>
        <x:v>0.07965977205012988</x:v>
      </x:c>
      <x:c r="J53" t="str">
        <x:f>IF(H53&gt;0,"Yes",IF(H53&lt;0,"No","Tie"))</x:f>
        <x:v>Yes</x:v>
      </x:c>
    </x:row>
    <x:row r="54">
      <x:c r="A54" t="str">
        <x:v>DLinear</x:v>
      </x:c>
      <x:c r="B54" t="str">
        <x:v>electricity</x:v>
      </x:c>
      <x:c r="C54" t="n">
        <x:v>96</x:v>
      </x:c>
      <x:c r="D54" t="str">
        <x:v>Baseline</x:v>
      </x:c>
      <x:c r="E54" t="str">
        <x:v>COSA-F</x:v>
      </x:c>
      <x:c r="F54" s="4" t="n">
        <x:v>0.2078</x:v>
      </x:c>
      <x:c r="G54" s="4" t="n">
        <x:v>0.2065176119407018</x:v>
      </x:c>
      <x:c r="H54" s="4" t="n">
        <x:f>IF(OR(F54="",G54=""),"",F54-G54)</x:f>
        <x:v>0.0012823880592982007</x:v>
      </x:c>
      <x:c r="I54" s="5" t="n">
        <x:f>IFERROR(H54/F54,"")</x:f>
        <x:v>0.00617126111308085</x:v>
      </x:c>
      <x:c r="J54" t="str">
        <x:f>IF(H54&gt;0,"Yes",IF(H54&lt;0,"No","Tie"))</x:f>
        <x:v>Yes</x:v>
      </x:c>
    </x:row>
    <x:row r="55">
      <x:c r="A55" t="str">
        <x:v>DLinear</x:v>
      </x:c>
      <x:c r="B55" t="str">
        <x:v>electricity</x:v>
      </x:c>
      <x:c r="C55" t="n">
        <x:v>192</x:v>
      </x:c>
      <x:c r="D55" t="str">
        <x:v>Baseline</x:v>
      </x:c>
      <x:c r="E55" t="str">
        <x:v>COSA-F</x:v>
      </x:c>
      <x:c r="F55" s="4" t="n">
        <x:v>0.2081</x:v>
      </x:c>
      <x:c r="G55" s="4" t="n">
        <x:v>0.20600292086601257</x:v>
      </x:c>
      <x:c r="H55" s="4" t="n">
        <x:f>IF(OR(F55="",G55=""),"",F55-G55)</x:f>
        <x:v>0.002097079133987434</x:v>
      </x:c>
      <x:c r="I55" s="5" t="n">
        <x:f>IFERROR(H55/F55,"")</x:f>
        <x:v>0.010077266381486948</x:v>
      </x:c>
      <x:c r="J55" t="str">
        <x:f>IF(H55&gt;0,"Yes",IF(H55&lt;0,"No","Tie"))</x:f>
        <x:v>Yes</x:v>
      </x:c>
    </x:row>
    <x:row r="56">
      <x:c r="A56" t="str">
        <x:v>DLinear</x:v>
      </x:c>
      <x:c r="B56" t="str">
        <x:v>electricity</x:v>
      </x:c>
      <x:c r="C56" t="n">
        <x:v>336</x:v>
      </x:c>
      <x:c r="D56" t="str">
        <x:v>Baseline</x:v>
      </x:c>
      <x:c r="E56" t="str">
        <x:v>COSA-F</x:v>
      </x:c>
      <x:c r="F56" s="4" t="n">
        <x:v>0.2228</x:v>
      </x:c>
      <x:c r="G56" s="4" t="n">
        <x:v>0.21519512931505838</x:v>
      </x:c>
      <x:c r="H56" s="4" t="n">
        <x:f>IF(OR(F56="",G56=""),"",F56-G56)</x:f>
        <x:v>0.007604870684941617</x:v>
      </x:c>
      <x:c r="I56" s="5" t="n">
        <x:f>IFERROR(H56/F56,"")</x:f>
        <x:v>0.03413317183546507</x:v>
      </x:c>
      <x:c r="J56" t="str">
        <x:f>IF(H56&gt;0,"Yes",IF(H56&lt;0,"No","Tie"))</x:f>
        <x:v>Yes</x:v>
      </x:c>
    </x:row>
    <x:row r="57">
      <x:c r="A57" t="str">
        <x:v>DLinear</x:v>
      </x:c>
      <x:c r="B57" t="str">
        <x:v>electricity</x:v>
      </x:c>
      <x:c r="C57" t="n">
        <x:v>720</x:v>
      </x:c>
      <x:c r="D57" t="str">
        <x:v>Baseline</x:v>
      </x:c>
      <x:c r="E57" t="str">
        <x:v>COSA-F</x:v>
      </x:c>
      <x:c r="F57" s="4" t="n">
        <x:v>0.2644</x:v>
      </x:c>
      <x:c r="G57" s="4" t="n">
        <x:v>0.24343651036421457</x:v>
      </x:c>
      <x:c r="H57" s="4" t="n">
        <x:f>IF(OR(F57="",G57=""),"",F57-G57)</x:f>
        <x:v>0.020963489635785454</x:v>
      </x:c>
      <x:c r="I57" s="5" t="n">
        <x:f>IFERROR(H57/F57,"")</x:f>
        <x:v>0.07928702585395406</x:v>
      </x:c>
      <x:c r="J57" t="str">
        <x:f>IF(H57&gt;0,"Yes",IF(H57&lt;0,"No","Tie"))</x:f>
        <x:v>Yes</x:v>
      </x:c>
    </x:row>
    <x:row r="58">
      <x:c r="A58" t="str">
        <x:v>DLinear</x:v>
      </x:c>
      <x:c r="B58" t="str">
        <x:v>traffic</x:v>
      </x:c>
      <x:c r="C58" t="n">
        <x:v>96</x:v>
      </x:c>
      <x:c r="D58" t="str">
        <x:v>Baseline</x:v>
      </x:c>
      <x:c r="E58" t="str">
        <x:v>COSA-F</x:v>
      </x:c>
      <x:c r="F58" s="4" t="n">
        <x:v>0.6709666666666667</x:v>
      </x:c>
      <x:c r="G58" s="4" t="n">
        <x:v>0.6705994804700216</x:v>
      </x:c>
      <x:c r="H58" s="4" t="n">
        <x:f>IF(OR(F58="",G58=""),"",F58-G58)</x:f>
        <x:v>0.00036718619664510843</x:v>
      </x:c>
      <x:c r="I58" s="5" t="n">
        <x:f>IFERROR(H58/F58,"")</x:f>
        <x:v>0.0005472495354639204</x:v>
      </x:c>
      <x:c r="J58" t="str">
        <x:f>IF(H58&gt;0,"Yes",IF(H58&lt;0,"No","Tie"))</x:f>
        <x:v>Yes</x:v>
      </x:c>
    </x:row>
    <x:row r="59">
      <x:c r="A59" t="str">
        <x:v>DLinear</x:v>
      </x:c>
      <x:c r="B59" t="str">
        <x:v>traffic</x:v>
      </x:c>
      <x:c r="C59" t="n">
        <x:v>192</x:v>
      </x:c>
      <x:c r="D59" t="str">
        <x:v>Baseline</x:v>
      </x:c>
      <x:c r="E59" t="str">
        <x:v>COSA-F</x:v>
      </x:c>
      <x:c r="F59" s="4" t="n">
        <x:v>0.6251666666666666</x:v>
      </x:c>
      <x:c r="G59" s="4" t="n">
        <x:v>0.6250709692637125</x:v>
      </x:c>
      <x:c r="H59" s="4" t="n">
        <x:f>IF(OR(F59="",G59=""),"",F59-G59)</x:f>
        <x:v>0.00009569740295412021</x:v>
      </x:c>
      <x:c r="I59" s="5" t="n">
        <x:f>IFERROR(H59/F59,"")</x:f>
        <x:v>0.00015307502472000035</x:v>
      </x:c>
      <x:c r="J59" t="str">
        <x:f>IF(H59&gt;0,"Yes",IF(H59&lt;0,"No","Tie"))</x:f>
        <x:v>Yes</x:v>
      </x:c>
    </x:row>
    <x:row r="60">
      <x:c r="A60" t="str">
        <x:v>DLinear</x:v>
      </x:c>
      <x:c r="B60" t="str">
        <x:v>traffic</x:v>
      </x:c>
      <x:c r="C60" t="n">
        <x:v>336</x:v>
      </x:c>
      <x:c r="D60" t="str">
        <x:v>Baseline</x:v>
      </x:c>
      <x:c r="E60" t="str">
        <x:v>COSA-F</x:v>
      </x:c>
      <x:c r="F60" s="4" t="n">
        <x:v>0.6328</x:v>
      </x:c>
      <x:c r="G60" s="4" t="n">
        <x:v>0.631888230641683</x:v>
      </x:c>
      <x:c r="H60" s="4" t="n">
        <x:f>IF(OR(F60="",G60=""),"",F60-G60)</x:f>
        <x:v>0.0009117693583170494</x:v>
      </x:c>
      <x:c r="I60" s="5" t="n">
        <x:f>IFERROR(H60/F60,"")</x:f>
        <x:v>0.001440849175595843</x:v>
      </x:c>
      <x:c r="J60" t="str">
        <x:f>IF(H60&gt;0,"Yes",IF(H60&lt;0,"No","Tie"))</x:f>
        <x:v>Yes</x:v>
      </x:c>
    </x:row>
    <x:row r="61">
      <x:c r="A61" t="str">
        <x:v>DLinear</x:v>
      </x:c>
      <x:c r="B61" t="str">
        <x:v>traffic</x:v>
      </x:c>
      <x:c r="C61" t="n">
        <x:v>720</x:v>
      </x:c>
      <x:c r="D61" t="str">
        <x:v>Baseline</x:v>
      </x:c>
      <x:c r="E61" t="str">
        <x:v>COSA-F</x:v>
      </x:c>
      <x:c r="F61" s="4" t="n">
        <x:v>0.6717</x:v>
      </x:c>
      <x:c r="G61" s="4" t="n">
        <x:v>0.6696911454200745</x:v>
      </x:c>
      <x:c r="H61" s="4" t="n">
        <x:f>IF(OR(F61="",G61=""),"",F61-G61)</x:f>
        <x:v>0.002008854579925501</x:v>
      </x:c>
      <x:c r="I61" s="5" t="n">
        <x:f>IFERROR(H61/F61,"")</x:f>
        <x:v>0.0029907020692652984</x:v>
      </x:c>
      <x:c r="J61" t="str">
        <x:f>IF(H61&gt;0,"Yes",IF(H61&lt;0,"No","Tie"))</x:f>
        <x:v>Yes</x:v>
      </x:c>
    </x:row>
    <x:row r="62">
      <x:c r="A62" t="str">
        <x:v>FreTS</x:v>
      </x:c>
      <x:c r="B62" t="str">
        <x:v>ETTh1</x:v>
      </x:c>
      <x:c r="C62" t="n">
        <x:v>96</x:v>
      </x:c>
      <x:c r="D62" t="str">
        <x:v>Baseline</x:v>
      </x:c>
      <x:c r="E62" t="str">
        <x:v>COSA-F</x:v>
      </x:c>
      <x:c r="F62" s="4" t="n">
        <x:v>0.4346333333333333</x:v>
      </x:c>
      <x:c r="G62" s="4" t="n">
        <x:v>0.4314335435628891</x:v>
      </x:c>
      <x:c r="H62" s="4" t="n">
        <x:f>IF(OR(F62="",G62=""),"",F62-G62)</x:f>
        <x:v>0.003199789770444217</x:v>
      </x:c>
      <x:c r="I62" s="5" t="n">
        <x:f>IFERROR(H62/F62,"")</x:f>
        <x:v>0.0073620441071651594</x:v>
      </x:c>
      <x:c r="J62" t="str">
        <x:f>IF(H62&gt;0,"Yes",IF(H62&lt;0,"No","Tie"))</x:f>
        <x:v>Yes</x:v>
      </x:c>
    </x:row>
    <x:row r="63">
      <x:c r="A63" t="str">
        <x:v>FreTS</x:v>
      </x:c>
      <x:c r="B63" t="str">
        <x:v>ETTh1</x:v>
      </x:c>
      <x:c r="C63" t="n">
        <x:v>192</x:v>
      </x:c>
      <x:c r="D63" t="str">
        <x:v>Baseline</x:v>
      </x:c>
      <x:c r="E63" t="str">
        <x:v>COSA-F</x:v>
      </x:c>
      <x:c r="F63" s="4" t="n">
        <x:v>0.4928</x:v>
      </x:c>
      <x:c r="G63" s="4" t="n">
        <x:v>0.4975403994321823</x:v>
      </x:c>
      <x:c r="H63" s="4" t="n">
        <x:f>IF(OR(F63="",G63=""),"",F63-G63)</x:f>
        <x:v>-0.004740399432182296</x:v>
      </x:c>
      <x:c r="I63" s="5" t="n">
        <x:f>IFERROR(H63/F63,"")</x:f>
        <x:v>-0.009619317029590698</x:v>
      </x:c>
      <x:c r="J63" t="str">
        <x:f>IF(H63&gt;0,"Yes",IF(H63&lt;0,"No","Tie"))</x:f>
        <x:v>No</x:v>
      </x:c>
    </x:row>
    <x:row r="64">
      <x:c r="A64" t="str">
        <x:v>FreTS</x:v>
      </x:c>
      <x:c r="B64" t="str">
        <x:v>ETTh1</x:v>
      </x:c>
      <x:c r="C64" t="n">
        <x:v>336</x:v>
      </x:c>
      <x:c r="D64" t="str">
        <x:v>Baseline</x:v>
      </x:c>
      <x:c r="E64" t="str">
        <x:v>COSA-F</x:v>
      </x:c>
      <x:c r="F64" s="4" t="n">
        <x:v>0.5451</x:v>
      </x:c>
      <x:c r="G64" s="4" t="n">
        <x:v>0.5543284118175507</x:v>
      </x:c>
      <x:c r="H64" s="4" t="n">
        <x:f>IF(OR(F64="",G64=""),"",F64-G64)</x:f>
        <x:v>-0.00922841181755063</x:v>
      </x:c>
      <x:c r="I64" s="5" t="n">
        <x:f>IFERROR(H64/F64,"")</x:f>
        <x:v>-0.01692975934241539</x:v>
      </x:c>
      <x:c r="J64" t="str">
        <x:f>IF(H64&gt;0,"Yes",IF(H64&lt;0,"No","Tie"))</x:f>
        <x:v>No</x:v>
      </x:c>
    </x:row>
    <x:row r="65">
      <x:c r="A65" t="str">
        <x:v>FreTS</x:v>
      </x:c>
      <x:c r="B65" t="str">
        <x:v>ETTh1</x:v>
      </x:c>
      <x:c r="C65" t="n">
        <x:v>720</x:v>
      </x:c>
      <x:c r="D65" t="str">
        <x:v>Baseline</x:v>
      </x:c>
      <x:c r="E65" t="str">
        <x:v>COSA-F</x:v>
      </x:c>
      <x:c r="F65" s="4" t="n">
        <x:v>0.7158666666666667</x:v>
      </x:c>
      <x:c r="G65" s="4" t="n">
        <x:v>0.6467782557010651</x:v>
      </x:c>
      <x:c r="H65" s="4" t="n">
        <x:f>IF(OR(F65="",G65=""),"",F65-G65)</x:f>
        <x:v>0.06908841096560159</x:v>
      </x:c>
      <x:c r="I65" s="5" t="n">
        <x:f>IFERROR(H65/F65,"")</x:f>
        <x:v>0.09651016618402158</x:v>
      </x:c>
      <x:c r="J65" t="str">
        <x:f>IF(H65&gt;0,"Yes",IF(H65&lt;0,"No","Tie"))</x:f>
        <x:v>Yes</x:v>
      </x:c>
    </x:row>
    <x:row r="66">
      <x:c r="A66" t="str">
        <x:v>FreTS</x:v>
      </x:c>
      <x:c r="B66" t="str">
        <x:v>ETTh2</x:v>
      </x:c>
      <x:c r="C66" t="n">
        <x:v>96</x:v>
      </x:c>
      <x:c r="D66" t="str">
        <x:v>Baseline</x:v>
      </x:c>
      <x:c r="E66" t="str">
        <x:v>COSA-F</x:v>
      </x:c>
      <x:c r="F66" s="4" t="n">
        <x:v>0.1845</x:v>
      </x:c>
      <x:c r="G66" s="4" t="n">
        <x:v>0.18600905686616898</x:v>
      </x:c>
      <x:c r="H66" s="4" t="n">
        <x:f>IF(OR(F66="",G66=""),"",F66-G66)</x:f>
        <x:v>-0.0015090568661689785</x:v>
      </x:c>
      <x:c r="I66" s="5" t="n">
        <x:f>IFERROR(H66/F66,"")</x:f>
        <x:v>-0.008179170006335926</x:v>
      </x:c>
      <x:c r="J66" t="str">
        <x:f>IF(H66&gt;0,"Yes",IF(H66&lt;0,"No","Tie"))</x:f>
        <x:v>No</x:v>
      </x:c>
    </x:row>
    <x:row r="67">
      <x:c r="A67" t="str">
        <x:v>FreTS</x:v>
      </x:c>
      <x:c r="B67" t="str">
        <x:v>ETTh2</x:v>
      </x:c>
      <x:c r="C67" t="n">
        <x:v>192</x:v>
      </x:c>
      <x:c r="D67" t="str">
        <x:v>Baseline</x:v>
      </x:c>
      <x:c r="E67" t="str">
        <x:v>COSA-F</x:v>
      </x:c>
      <x:c r="F67" s="4" t="n">
        <x:v>0.22396666666666668</x:v>
      </x:c>
      <x:c r="G67" s="4" t="n">
        <x:v>0.22896744310855865</x:v>
      </x:c>
      <x:c r="H67" s="4" t="n">
        <x:f>IF(OR(F67="",G67=""),"",F67-G67)</x:f>
        <x:v>-0.00500077644189198</x:v>
      </x:c>
      <x:c r="I67" s="5" t="n">
        <x:f>IFERROR(H67/F67,"")</x:f>
        <x:v>-0.022328217481285814</x:v>
      </x:c>
      <x:c r="J67" t="str">
        <x:f>IF(H67&gt;0,"Yes",IF(H67&lt;0,"No","Tie"))</x:f>
        <x:v>No</x:v>
      </x:c>
    </x:row>
    <x:row r="68">
      <x:c r="A68" t="str">
        <x:v>FreTS</x:v>
      </x:c>
      <x:c r="B68" t="str">
        <x:v>ETTh2</x:v>
      </x:c>
      <x:c r="C68" t="n">
        <x:v>336</x:v>
      </x:c>
      <x:c r="D68" t="str">
        <x:v>Baseline</x:v>
      </x:c>
      <x:c r="E68" t="str">
        <x:v>COSA-F</x:v>
      </x:c>
      <x:c r="F68" s="4" t="n">
        <x:v>0.2554</x:v>
      </x:c>
      <x:c r="G68" s="4" t="n">
        <x:v>0.2539190649986267</x:v>
      </x:c>
      <x:c r="H68" s="4" t="n">
        <x:f>IF(OR(F68="",G68=""),"",F68-G68)</x:f>
        <x:v>0.001480935001373307</x:v>
      </x:c>
      <x:c r="I68" s="5" t="n">
        <x:f>IFERROR(H68/F68,"")</x:f>
        <x:v>0.005798492566066197</x:v>
      </x:c>
      <x:c r="J68" t="str">
        <x:f>IF(H68&gt;0,"Yes",IF(H68&lt;0,"No","Tie"))</x:f>
        <x:v>Yes</x:v>
      </x:c>
    </x:row>
    <x:row r="69">
      <x:c r="A69" t="str">
        <x:v>FreTS</x:v>
      </x:c>
      <x:c r="B69" t="str">
        <x:v>ETTh2</x:v>
      </x:c>
      <x:c r="C69" t="n">
        <x:v>720</x:v>
      </x:c>
      <x:c r="D69" t="str">
        <x:v>Baseline</x:v>
      </x:c>
      <x:c r="E69" t="str">
        <x:v>COSA-F</x:v>
      </x:c>
      <x:c r="F69" s="4" t="n">
        <x:v>0.3243333333333333</x:v>
      </x:c>
      <x:c r="G69" s="4" t="n">
        <x:v>0.2756490558385849</x:v>
      </x:c>
      <x:c r="H69" s="4" t="n">
        <x:f>IF(OR(F69="",G69=""),"",F69-G69)</x:f>
        <x:v>0.04868427749474841</x:v>
      </x:c>
      <x:c r="I69" s="5" t="n">
        <x:f>IFERROR(H69/F69,"")</x:f>
        <x:v>0.15010568600641852</x:v>
      </x:c>
      <x:c r="J69" t="str">
        <x:f>IF(H69&gt;0,"Yes",IF(H69&lt;0,"No","Tie"))</x:f>
        <x:v>Yes</x:v>
      </x:c>
    </x:row>
    <x:row r="70">
      <x:c r="A70" t="str">
        <x:v>FreTS</x:v>
      </x:c>
      <x:c r="B70" t="str">
        <x:v>ETTm1</x:v>
      </x:c>
      <x:c r="C70" t="n">
        <x:v>96</x:v>
      </x:c>
      <x:c r="D70" t="str">
        <x:v>Baseline</x:v>
      </x:c>
      <x:c r="E70" t="str">
        <x:v>COSA-F</x:v>
      </x:c>
      <x:c r="F70" s="4" t="n">
        <x:v>0.3616</x:v>
      </x:c>
      <x:c r="G70" s="4" t="n">
        <x:v>0.3550616055727005</x:v>
      </x:c>
      <x:c r="H70" s="4" t="n">
        <x:f>IF(OR(F70="",G70=""),"",F70-G70)</x:f>
        <x:v>0.0065383944272994765</x:v>
      </x:c>
      <x:c r="I70" s="5" t="n">
        <x:f>IFERROR(H70/F70,"")</x:f>
        <x:v>0.018081842995850323</x:v>
      </x:c>
      <x:c r="J70" t="str">
        <x:f>IF(H70&gt;0,"Yes",IF(H70&lt;0,"No","Tie"))</x:f>
        <x:v>Yes</x:v>
      </x:c>
    </x:row>
    <x:row r="71">
      <x:c r="A71" t="str">
        <x:v>FreTS</x:v>
      </x:c>
      <x:c r="B71" t="str">
        <x:v>ETTm1</x:v>
      </x:c>
      <x:c r="C71" t="n">
        <x:v>192</x:v>
      </x:c>
      <x:c r="D71" t="str">
        <x:v>Baseline</x:v>
      </x:c>
      <x:c r="E71" t="str">
        <x:v>COSA-F</x:v>
      </x:c>
      <x:c r="F71" s="4" t="n">
        <x:v>0.4218</x:v>
      </x:c>
      <x:c r="G71" s="4" t="n">
        <x:v>0.4245300143957138</x:v>
      </x:c>
      <x:c r="H71" s="4" t="n">
        <x:f>IF(OR(F71="",G71=""),"",F71-G71)</x:f>
        <x:v>-0.002730014395713798</x:v>
      </x:c>
      <x:c r="I71" s="5" t="n">
        <x:f>IFERROR(H71/F71,"")</x:f>
        <x:v>-0.006472295864660497</x:v>
      </x:c>
      <x:c r="J71" t="str">
        <x:f>IF(H71&gt;0,"Yes",IF(H71&lt;0,"No","Tie"))</x:f>
        <x:v>No</x:v>
      </x:c>
    </x:row>
    <x:row r="72">
      <x:c r="A72" t="str">
        <x:v>FreTS</x:v>
      </x:c>
      <x:c r="B72" t="str">
        <x:v>ETTm1</x:v>
      </x:c>
      <x:c r="C72" t="n">
        <x:v>336</x:v>
      </x:c>
      <x:c r="D72" t="str">
        <x:v>Baseline</x:v>
      </x:c>
      <x:c r="E72" t="str">
        <x:v>COSA-F</x:v>
      </x:c>
      <x:c r="F72" s="4" t="n">
        <x:v>0.4863</x:v>
      </x:c>
      <x:c r="G72" s="4" t="n">
        <x:v>0.4926287531852722</x:v>
      </x:c>
      <x:c r="H72" s="4" t="n">
        <x:f>IF(OR(F72="",G72=""),"",F72-G72)</x:f>
        <x:v>-0.006328753185272207</x:v>
      </x:c>
      <x:c r="I72" s="5" t="n">
        <x:f>IFERROR(H72/F72,"")</x:f>
        <x:v>-0.013014092505186524</x:v>
      </x:c>
      <x:c r="J72" t="str">
        <x:f>IF(H72&gt;0,"Yes",IF(H72&lt;0,"No","Tie"))</x:f>
        <x:v>No</x:v>
      </x:c>
    </x:row>
    <x:row r="73">
      <x:c r="A73" t="str">
        <x:v>FreTS</x:v>
      </x:c>
      <x:c r="B73" t="str">
        <x:v>ETTm1</x:v>
      </x:c>
      <x:c r="C73" t="n">
        <x:v>720</x:v>
      </x:c>
      <x:c r="D73" t="str">
        <x:v>Baseline</x:v>
      </x:c>
      <x:c r="E73" t="str">
        <x:v>COSA-F</x:v>
      </x:c>
      <x:c r="F73" s="4" t="n">
        <x:v>0.5526666666666666</x:v>
      </x:c>
      <x:c r="G73" s="4" t="n">
        <x:v>0.5312340557575226</x:v>
      </x:c>
      <x:c r="H73" s="4" t="n">
        <x:f>IF(OR(F73="",G73=""),"",F73-G73)</x:f>
        <x:v>0.021432610909144056</x:v>
      </x:c>
      <x:c r="I73" s="5" t="n">
        <x:f>IFERROR(H73/F73,"")</x:f>
        <x:v>0.03878035749543557</x:v>
      </x:c>
      <x:c r="J73" t="str">
        <x:f>IF(H73&gt;0,"Yes",IF(H73&lt;0,"No","Tie"))</x:f>
        <x:v>Yes</x:v>
      </x:c>
    </x:row>
    <x:row r="74">
      <x:c r="A74" t="str">
        <x:v>FreTS</x:v>
      </x:c>
      <x:c r="B74" t="str">
        <x:v>ETTm2</x:v>
      </x:c>
      <x:c r="C74" t="n">
        <x:v>96</x:v>
      </x:c>
      <x:c r="D74" t="str">
        <x:v>Baseline</x:v>
      </x:c>
      <x:c r="E74" t="str">
        <x:v>COSA-F</x:v>
      </x:c>
      <x:c r="F74" s="4" t="n">
        <x:v>0.11866666666666667</x:v>
      </x:c>
      <x:c r="G74" s="4" t="n">
        <x:v>0.1201893575489521</x:v>
      </x:c>
      <x:c r="H74" s="4" t="n">
        <x:f>IF(OR(F74="",G74=""),"",F74-G74)</x:f>
        <x:v>-0.0015226908822854324</x:v>
      </x:c>
      <x:c r="I74" s="5" t="n">
        <x:f>IFERROR(H74/F74,"")</x:f>
        <x:v>-0.012831664738360385</x:v>
      </x:c>
      <x:c r="J74" t="str">
        <x:f>IF(H74&gt;0,"Yes",IF(H74&lt;0,"No","Tie"))</x:f>
        <x:v>No</x:v>
      </x:c>
    </x:row>
    <x:row r="75">
      <x:c r="A75" t="str">
        <x:v>FreTS</x:v>
      </x:c>
      <x:c r="B75" t="str">
        <x:v>ETTm2</x:v>
      </x:c>
      <x:c r="C75" t="n">
        <x:v>192</x:v>
      </x:c>
      <x:c r="D75" t="str">
        <x:v>Baseline</x:v>
      </x:c>
      <x:c r="E75" t="str">
        <x:v>COSA-F</x:v>
      </x:c>
      <x:c r="F75" s="4" t="n">
        <x:v>0.14826666666666666</x:v>
      </x:c>
      <x:c r="G75" s="4" t="n">
        <x:v>0.1599169671535492</x:v>
      </x:c>
      <x:c r="H75" s="4" t="n">
        <x:f>IF(OR(F75="",G75=""),"",F75-G75)</x:f>
        <x:v>-0.011650300486882537</x:v>
      </x:c>
      <x:c r="I75" s="5" t="n">
        <x:f>IFERROR(H75/F75,"")</x:f>
        <x:v>-0.07857666695289481</x:v>
      </x:c>
      <x:c r="J75" t="str">
        <x:f>IF(H75&gt;0,"Yes",IF(H75&lt;0,"No","Tie"))</x:f>
        <x:v>No</x:v>
      </x:c>
    </x:row>
    <x:row r="76">
      <x:c r="A76" t="str">
        <x:v>FreTS</x:v>
      </x:c>
      <x:c r="B76" t="str">
        <x:v>ETTm2</x:v>
      </x:c>
      <x:c r="C76" t="n">
        <x:v>336</x:v>
      </x:c>
      <x:c r="D76" t="str">
        <x:v>Baseline</x:v>
      </x:c>
      <x:c r="E76" t="str">
        <x:v>COSA-F</x:v>
      </x:c>
      <x:c r="F76" s="4" t="n">
        <x:v>0.18183333333333332</x:v>
      </x:c>
      <x:c r="G76" s="4" t="n">
        <x:v>0.1917339488863945</x:v>
      </x:c>
      <x:c r="H76" s="4" t="n">
        <x:f>IF(OR(F76="",G76=""),"",F76-G76)</x:f>
        <x:v>-0.009900615553061182</x:v>
      </x:c>
      <x:c r="I76" s="5" t="n">
        <x:f>IFERROR(H76/F76,"")</x:f>
        <x:v>-0.054448848137825016</x:v>
      </x:c>
      <x:c r="J76" t="str">
        <x:f>IF(H76&gt;0,"Yes",IF(H76&lt;0,"No","Tie"))</x:f>
        <x:v>No</x:v>
      </x:c>
    </x:row>
    <x:row r="77">
      <x:c r="A77" t="str">
        <x:v>FreTS</x:v>
      </x:c>
      <x:c r="B77" t="str">
        <x:v>ETTm2</x:v>
      </x:c>
      <x:c r="C77" t="n">
        <x:v>720</x:v>
      </x:c>
      <x:c r="D77" t="str">
        <x:v>Baseline</x:v>
      </x:c>
      <x:c r="E77" t="str">
        <x:v>COSA-F</x:v>
      </x:c>
      <x:c r="F77" s="4" t="n">
        <x:v>0.23776666666666665</x:v>
      </x:c>
      <x:c r="G77" s="4" t="n">
        <x:v>0.21432758122682571</x:v>
      </x:c>
      <x:c r="H77" s="4" t="n">
        <x:f>IF(OR(F77="",G77=""),"",F77-G77)</x:f>
        <x:v>0.02343908543984094</x:v>
      </x:c>
      <x:c r="I77" s="5" t="n">
        <x:f>IFERROR(H77/F77,"")</x:f>
        <x:v>0.09858019952267325</x:v>
      </x:c>
      <x:c r="J77" t="str">
        <x:f>IF(H77&gt;0,"Yes",IF(H77&lt;0,"No","Tie"))</x:f>
        <x:v>Yes</x:v>
      </x:c>
    </x:row>
    <x:row r="78">
      <x:c r="A78" t="str">
        <x:v>FreTS</x:v>
      </x:c>
      <x:c r="B78" t="str">
        <x:v>Exchange Rate</x:v>
      </x:c>
      <x:c r="C78" t="n">
        <x:v>96</x:v>
      </x:c>
      <x:c r="D78" t="str">
        <x:v>Baseline</x:v>
      </x:c>
      <x:c r="E78" t="str">
        <x:v>COSA-F</x:v>
      </x:c>
      <x:c r="F78" s="4" t="n">
        <x:v>0.08346666666666666</x:v>
      </x:c>
      <x:c r="G78" s="4" t="n">
        <x:v>0.07924611121416092</x:v>
      </x:c>
      <x:c r="H78" s="4" t="n">
        <x:f>IF(OR(F78="",G78=""),"",F78-G78)</x:f>
        <x:v>0.004220555452505742</x:v>
      </x:c>
      <x:c r="I78" s="5" t="n">
        <x:f>IFERROR(H78/F78,"")</x:f>
        <x:v>0.05056576021372695</x:v>
      </x:c>
      <x:c r="J78" t="str">
        <x:f>IF(H78&gt;0,"Yes",IF(H78&lt;0,"No","Tie"))</x:f>
        <x:v>Yes</x:v>
      </x:c>
    </x:row>
    <x:row r="79">
      <x:c r="A79" t="str">
        <x:v>FreTS</x:v>
      </x:c>
      <x:c r="B79" t="str">
        <x:v>Exchange Rate</x:v>
      </x:c>
      <x:c r="C79" t="n">
        <x:v>192</x:v>
      </x:c>
      <x:c r="D79" t="str">
        <x:v>Baseline</x:v>
      </x:c>
      <x:c r="E79" t="str">
        <x:v>COSA-F</x:v>
      </x:c>
      <x:c r="F79" s="4" t="n">
        <x:v>0.1753</x:v>
      </x:c>
      <x:c r="G79" s="4" t="n">
        <x:v>0.1532968282699585</x:v>
      </x:c>
      <x:c r="H79" s="4" t="n">
        <x:f>IF(OR(F79="",G79=""),"",F79-G79)</x:f>
        <x:v>0.022003171730041515</x:v>
      </x:c>
      <x:c r="I79" s="5" t="n">
        <x:f>IFERROR(H79/F79,"")</x:f>
        <x:v>0.1255172374788449</x:v>
      </x:c>
      <x:c r="J79" t="str">
        <x:f>IF(H79&gt;0,"Yes",IF(H79&lt;0,"No","Tie"))</x:f>
        <x:v>Yes</x:v>
      </x:c>
    </x:row>
    <x:row r="80">
      <x:c r="A80" t="str">
        <x:v>FreTS</x:v>
      </x:c>
      <x:c r="B80" t="str">
        <x:v>Exchange Rate</x:v>
      </x:c>
      <x:c r="C80" t="n">
        <x:v>336</x:v>
      </x:c>
      <x:c r="D80" t="str">
        <x:v>Baseline</x:v>
      </x:c>
      <x:c r="E80" t="str">
        <x:v>COSA-F</x:v>
      </x:c>
      <x:c r="F80" s="4" t="n">
        <x:v>0.3244666666666666</x:v>
      </x:c>
      <x:c r="G80" s="4" t="n">
        <x:v>0.22275415807962418</x:v>
      </x:c>
      <x:c r="H80" s="4" t="n">
        <x:f>IF(OR(F80="",G80=""),"",F80-G80)</x:f>
        <x:v>0.10171250858704245</x:v>
      </x:c>
      <x:c r="I80" s="5" t="n">
        <x:f>IFERROR(H80/F80,"")</x:f>
        <x:v>0.31347598701574625</x:v>
      </x:c>
      <x:c r="J80" t="str">
        <x:f>IF(H80&gt;0,"Yes",IF(H80&lt;0,"No","Tie"))</x:f>
        <x:v>Yes</x:v>
      </x:c>
    </x:row>
    <x:row r="81">
      <x:c r="A81" t="str">
        <x:v>FreTS</x:v>
      </x:c>
      <x:c r="B81" t="str">
        <x:v>Exchange Rate</x:v>
      </x:c>
      <x:c r="C81" t="n">
        <x:v>720</x:v>
      </x:c>
      <x:c r="D81" t="str">
        <x:v>Baseline</x:v>
      </x:c>
      <x:c r="E81" t="str">
        <x:v>COSA-F</x:v>
      </x:c>
      <x:c r="F81" s="4" t="n">
        <x:v>0.8421</x:v>
      </x:c>
      <x:c r="G81" s="4" t="n">
        <x:v>0.3209460973739624</x:v>
      </x:c>
      <x:c r="H81" s="4" t="n">
        <x:f>IF(OR(F81="",G81=""),"",F81-G81)</x:f>
        <x:v>0.5211539026260376</x:v>
      </x:c>
      <x:c r="I81" s="5" t="n">
        <x:f>IFERROR(H81/F81,"")</x:f>
        <x:v>0.6188741273317154</x:v>
      </x:c>
      <x:c r="J81" t="str">
        <x:f>IF(H81&gt;0,"Yes",IF(H81&lt;0,"No","Tie"))</x:f>
        <x:v>Yes</x:v>
      </x:c>
    </x:row>
    <x:row r="82">
      <x:c r="A82" t="str">
        <x:v>FreTS</x:v>
      </x:c>
      <x:c r="B82" t="str">
        <x:v>weather</x:v>
      </x:c>
      <x:c r="C82" t="n">
        <x:v>96</x:v>
      </x:c>
      <x:c r="D82" t="str">
        <x:v>Baseline</x:v>
      </x:c>
      <x:c r="E82" t="str">
        <x:v>COSA-F</x:v>
      </x:c>
      <x:c r="F82" s="4" t="n">
        <x:v>0.18303333333333333</x:v>
      </x:c>
      <x:c r="G82" s="4" t="n">
        <x:v>0.17968664318323135</x:v>
      </x:c>
      <x:c r="H82" s="4" t="n">
        <x:f>IF(OR(F82="",G82=""),"",F82-G82)</x:f>
        <x:v>0.003346690150101972</x:v>
      </x:c>
      <x:c r="I82" s="5" t="n">
        <x:f>IFERROR(H82/F82,"")</x:f>
        <x:v>0.01828459379039504</x:v>
      </x:c>
      <x:c r="J82" t="str">
        <x:f>IF(H82&gt;0,"Yes",IF(H82&lt;0,"No","Tie"))</x:f>
        <x:v>Yes</x:v>
      </x:c>
    </x:row>
    <x:row r="83">
      <x:c r="A83" t="str">
        <x:v>FreTS</x:v>
      </x:c>
      <x:c r="B83" t="str">
        <x:v>weather</x:v>
      </x:c>
      <x:c r="C83" t="n">
        <x:v>192</x:v>
      </x:c>
      <x:c r="D83" t="str">
        <x:v>Baseline</x:v>
      </x:c>
      <x:c r="E83" t="str">
        <x:v>COSA-F</x:v>
      </x:c>
      <x:c r="F83" s="4" t="n">
        <x:v>0.22936666666666666</x:v>
      </x:c>
      <x:c r="G83" s="4" t="n">
        <x:v>0.23667710274457932</x:v>
      </x:c>
      <x:c r="H83" s="4" t="n">
        <x:f>IF(OR(F83="",G83=""),"",F83-G83)</x:f>
        <x:v>-0.007310436077912652</x:v>
      </x:c>
      <x:c r="I83" s="5" t="n">
        <x:f>IFERROR(H83/F83,"")</x:f>
        <x:v>-0.03187226890530149</x:v>
      </x:c>
      <x:c r="J83" t="str">
        <x:f>IF(H83&gt;0,"Yes",IF(H83&lt;0,"No","Tie"))</x:f>
        <x:v>No</x:v>
      </x:c>
    </x:row>
    <x:row r="84">
      <x:c r="A84" t="str">
        <x:v>FreTS</x:v>
      </x:c>
      <x:c r="B84" t="str">
        <x:v>weather</x:v>
      </x:c>
      <x:c r="C84" t="n">
        <x:v>336</x:v>
      </x:c>
      <x:c r="D84" t="str">
        <x:v>Baseline</x:v>
      </x:c>
      <x:c r="E84" t="str">
        <x:v>COSA-F</x:v>
      </x:c>
      <x:c r="F84" s="4" t="n">
        <x:v>0.28303333333333336</x:v>
      </x:c>
      <x:c r="G84" s="4" t="n">
        <x:v>0.3008144646883011</x:v>
      </x:c>
      <x:c r="H84" s="4" t="n">
        <x:f>IF(OR(F84="",G84=""),"",F84-G84)</x:f>
        <x:v>-0.017781131354967727</x:v>
      </x:c>
      <x:c r="I84" s="5" t="n">
        <x:f>IFERROR(H84/F84,"")</x:f>
        <x:v>-0.06282345314439192</x:v>
      </x:c>
      <x:c r="J84" t="str">
        <x:f>IF(H84&gt;0,"Yes",IF(H84&lt;0,"No","Tie"))</x:f>
        <x:v>No</x:v>
      </x:c>
    </x:row>
    <x:row r="85">
      <x:c r="A85" t="str">
        <x:v>FreTS</x:v>
      </x:c>
      <x:c r="B85" t="str">
        <x:v>weather</x:v>
      </x:c>
      <x:c r="C85" t="n">
        <x:v>720</x:v>
      </x:c>
      <x:c r="D85" t="str">
        <x:v>Baseline</x:v>
      </x:c>
      <x:c r="E85" t="str">
        <x:v>COSA-F</x:v>
      </x:c>
      <x:c r="F85" s="4" t="n">
        <x:v>0.35883333333333334</x:v>
      </x:c>
      <x:c r="G85" s="4" t="n">
        <x:v>0.3307296931743622</x:v>
      </x:c>
      <x:c r="H85" s="4" t="n">
        <x:f>IF(OR(F85="",G85=""),"",F85-G85)</x:f>
        <x:v>0.028103640158971155</x:v>
      </x:c>
      <x:c r="I85" s="5" t="n">
        <x:f>IFERROR(H85/F85,"")</x:f>
        <x:v>0.07831948023865626</x:v>
      </x:c>
      <x:c r="J85" t="str">
        <x:f>IF(H85&gt;0,"Yes",IF(H85&lt;0,"No","Tie"))</x:f>
        <x:v>Yes</x:v>
      </x:c>
    </x:row>
    <x:row r="86">
      <x:c r="A86" t="str">
        <x:v>FreTS</x:v>
      </x:c>
      <x:c r="B86" t="str">
        <x:v>electricity</x:v>
      </x:c>
      <x:c r="C86" t="n">
        <x:v>96</x:v>
      </x:c>
      <x:c r="D86" t="str">
        <x:v>Baseline</x:v>
      </x:c>
      <x:c r="E86" t="str">
        <x:v>COSA-F</x:v>
      </x:c>
      <x:c r="F86" s="4" t="n">
        <x:v>0.18833333333333332</x:v>
      </x:c>
      <x:c r="G86" s="4" t="n">
        <x:v>0.18776048719882965</x:v>
      </x:c>
      <x:c r="H86" s="4" t="n">
        <x:f>IF(OR(F86="",G86=""),"",F86-G86)</x:f>
        <x:v>0.0005728461345036739</x:v>
      </x:c>
      <x:c r="I86" s="5" t="n">
        <x:f>IFERROR(H86/F86,"")</x:f>
        <x:v>0.00304166089116995</x:v>
      </x:c>
      <x:c r="J86" t="str">
        <x:f>IF(H86&gt;0,"Yes",IF(H86&lt;0,"No","Tie"))</x:f>
        <x:v>Yes</x:v>
      </x:c>
    </x:row>
    <x:row r="87">
      <x:c r="A87" t="str">
        <x:v>FreTS</x:v>
      </x:c>
      <x:c r="B87" t="str">
        <x:v>electricity</x:v>
      </x:c>
      <x:c r="C87" t="n">
        <x:v>192</x:v>
      </x:c>
      <x:c r="D87" t="str">
        <x:v>Baseline</x:v>
      </x:c>
      <x:c r="E87" t="str">
        <x:v>COSA-F</x:v>
      </x:c>
      <x:c r="F87" s="4" t="n">
        <x:v>0.19246666666666665</x:v>
      </x:c>
      <x:c r="G87" s="4" t="n">
        <x:v>0.19057977696259817</x:v>
      </x:c>
      <x:c r="H87" s="4" t="n">
        <x:f>IF(OR(F87="",G87=""),"",F87-G87)</x:f>
        <x:v>0.001886889704068473</x:v>
      </x:c>
      <x:c r="I87" s="5" t="n">
        <x:f>IFERROR(H87/F87,"")</x:f>
        <x:v>0.009803722050927293</x:v>
      </x:c>
      <x:c r="J87" t="str">
        <x:f>IF(H87&gt;0,"Yes",IF(H87&lt;0,"No","Tie"))</x:f>
        <x:v>Yes</x:v>
      </x:c>
    </x:row>
    <x:row r="88">
      <x:c r="A88" t="str">
        <x:v>FreTS</x:v>
      </x:c>
      <x:c r="B88" t="str">
        <x:v>electricity</x:v>
      </x:c>
      <x:c r="C88" t="n">
        <x:v>336</x:v>
      </x:c>
      <x:c r="D88" t="str">
        <x:v>Baseline</x:v>
      </x:c>
      <x:c r="E88" t="str">
        <x:v>COSA-F</x:v>
      </x:c>
      <x:c r="F88" s="4" t="n">
        <x:v>0.209</x:v>
      </x:c>
      <x:c r="G88" s="4" t="n">
        <x:v>0.20153055091698965</x:v>
      </x:c>
      <x:c r="H88" s="4" t="n">
        <x:f>IF(OR(F88="",G88=""),"",F88-G88)</x:f>
        <x:v>0.007469449083010338</x:v>
      </x:c>
      <x:c r="I88" s="5" t="n">
        <x:f>IFERROR(H88/F88,"")</x:f>
        <x:v>0.03573899082780066</x:v>
      </x:c>
      <x:c r="J88" t="str">
        <x:f>IF(H88&gt;0,"Yes",IF(H88&lt;0,"No","Tie"))</x:f>
        <x:v>Yes</x:v>
      </x:c>
    </x:row>
    <x:row r="89">
      <x:c r="A89" t="str">
        <x:v>FreTS</x:v>
      </x:c>
      <x:c r="B89" t="str">
        <x:v>electricity</x:v>
      </x:c>
      <x:c r="C89" t="n">
        <x:v>720</x:v>
      </x:c>
      <x:c r="D89" t="str">
        <x:v>Baseline</x:v>
      </x:c>
      <x:c r="E89" t="str">
        <x:v>COSA-F</x:v>
      </x:c>
      <x:c r="F89" s="4" t="n">
        <x:v>0.25183333333333335</x:v>
      </x:c>
      <x:c r="G89" s="4" t="n">
        <x:v>0.23076996207237244</x:v>
      </x:c>
      <x:c r="H89" s="4" t="n">
        <x:f>IF(OR(F89="",G89=""),"",F89-G89)</x:f>
        <x:v>0.021063371260960917</x:v>
      </x:c>
      <x:c r="I89" s="5" t="n">
        <x:f>IFERROR(H89/F89,"")</x:f>
        <x:v>0.0836401241335311</x:v>
      </x:c>
      <x:c r="J89" t="str">
        <x:f>IF(H89&gt;0,"Yes",IF(H89&lt;0,"No","Tie"))</x:f>
        <x:v>Yes</x:v>
      </x:c>
    </x:row>
    <x:row r="90">
      <x:c r="A90" t="str">
        <x:v>PatchTST</x:v>
      </x:c>
      <x:c r="B90" t="str">
        <x:v>ETTh1</x:v>
      </x:c>
      <x:c r="C90" t="n">
        <x:v>96</x:v>
      </x:c>
      <x:c r="D90" t="str">
        <x:v>Baseline</x:v>
      </x:c>
      <x:c r="E90" t="str">
        <x:v>COSA-F</x:v>
      </x:c>
      <x:c r="F90" s="4" t="n">
        <x:v>0.48273333333333335</x:v>
      </x:c>
      <x:c r="G90" s="4" t="n">
        <x:v>0.4215563138326009</x:v>
      </x:c>
      <x:c r="H90" s="4" t="n">
        <x:f>IF(OR(F90="",G90=""),"",F90-G90)</x:f>
        <x:v>0.061177019500732455</x:v>
      </x:c>
      <x:c r="I90" s="5" t="n">
        <x:f>IFERROR(H90/F90,"")</x:f>
        <x:v>0.12673046437107952</x:v>
      </x:c>
      <x:c r="J90" t="str">
        <x:f>IF(H90&gt;0,"Yes",IF(H90&lt;0,"No","Tie"))</x:f>
        <x:v>Yes</x:v>
      </x:c>
    </x:row>
    <x:row r="91">
      <x:c r="A91" t="str">
        <x:v>PatchTST</x:v>
      </x:c>
      <x:c r="B91" t="str">
        <x:v>ETTh1</x:v>
      </x:c>
      <x:c r="C91" t="n">
        <x:v>192</x:v>
      </x:c>
      <x:c r="D91" t="str">
        <x:v>Baseline</x:v>
      </x:c>
      <x:c r="E91" t="str">
        <x:v>COSA-F</x:v>
      </x:c>
      <x:c r="F91" s="4" t="n">
        <x:v>0.5451666666666667</x:v>
      </x:c>
      <x:c r="G91" s="4" t="n">
        <x:v>0.4862701694170634</x:v>
      </x:c>
      <x:c r="H91" s="4" t="n">
        <x:f>IF(OR(F91="",G91=""),"",F91-G91)</x:f>
        <x:v>0.058896497249603275</x:v>
      </x:c>
      <x:c r="I91" s="5" t="n">
        <x:f>IFERROR(H91/F91,"")</x:f>
        <x:v>0.10803392953152542</x:v>
      </x:c>
      <x:c r="J91" t="str">
        <x:f>IF(H91&gt;0,"Yes",IF(H91&lt;0,"No","Tie"))</x:f>
        <x:v>Yes</x:v>
      </x:c>
    </x:row>
    <x:row r="92">
      <x:c r="A92" t="str">
        <x:v>PatchTST</x:v>
      </x:c>
      <x:c r="B92" t="str">
        <x:v>ETTh1</x:v>
      </x:c>
      <x:c r="C92" t="n">
        <x:v>336</x:v>
      </x:c>
      <x:c r="D92" t="str">
        <x:v>Baseline</x:v>
      </x:c>
      <x:c r="E92" t="str">
        <x:v>COSA-F</x:v>
      </x:c>
      <x:c r="F92" s="4" t="n">
        <x:v>0.6126333333333334</x:v>
      </x:c>
      <x:c r="G92" s="4" t="n">
        <x:v>0.5593735774358114</x:v>
      </x:c>
      <x:c r="H92" s="4" t="n">
        <x:f>IF(OR(F92="",G92=""),"",F92-G92)</x:f>
        <x:v>0.053259755897521965</x:v>
      </x:c>
      <x:c r="I92" s="5" t="n">
        <x:f>IFERROR(H92/F92,"")</x:f>
        <x:v>0.0869357787107927</x:v>
      </x:c>
      <x:c r="J92" t="str">
        <x:f>IF(H92&gt;0,"Yes",IF(H92&lt;0,"No","Tie"))</x:f>
        <x:v>Yes</x:v>
      </x:c>
    </x:row>
    <x:row r="93">
      <x:c r="A93" t="str">
        <x:v>PatchTST</x:v>
      </x:c>
      <x:c r="B93" t="str">
        <x:v>ETTh1</x:v>
      </x:c>
      <x:c r="C93" t="n">
        <x:v>720</x:v>
      </x:c>
      <x:c r="D93" t="str">
        <x:v>Baseline</x:v>
      </x:c>
      <x:c r="E93" t="str">
        <x:v>COSA-F</x:v>
      </x:c>
      <x:c r="F93" s="4" t="n">
        <x:v>0.8043666666666667</x:v>
      </x:c>
      <x:c r="G93" s="4" t="n">
        <x:v>0.6667301654815674</x:v>
      </x:c>
      <x:c r="H93" s="4" t="n">
        <x:f>IF(OR(F93="",G93=""),"",F93-G93)</x:f>
        <x:v>0.1376365011850993</x:v>
      </x:c>
      <x:c r="I93" s="5" t="n">
        <x:f>IFERROR(H93/F93,"")</x:f>
        <x:v>0.1711116421015697</x:v>
      </x:c>
      <x:c r="J93" t="str">
        <x:f>IF(H93&gt;0,"Yes",IF(H93&lt;0,"No","Tie"))</x:f>
        <x:v>Yes</x:v>
      </x:c>
    </x:row>
    <x:row r="94">
      <x:c r="A94" t="str">
        <x:v>PatchTST</x:v>
      </x:c>
      <x:c r="B94" t="str">
        <x:v>ETTh2</x:v>
      </x:c>
      <x:c r="C94" t="n">
        <x:v>96</x:v>
      </x:c>
      <x:c r="D94" t="str">
        <x:v>Baseline</x:v>
      </x:c>
      <x:c r="E94" t="str">
        <x:v>COSA-F</x:v>
      </x:c>
      <x:c r="F94" s="4" t="n">
        <x:v>0.19286666666666666</x:v>
      </x:c>
      <x:c r="G94" s="4" t="n">
        <x:v>0.18864086270332336</x:v>
      </x:c>
      <x:c r="H94" s="4" t="n">
        <x:f>IF(OR(F94="",G94=""),"",F94-G94)</x:f>
        <x:v>0.004225803963343294</x:v>
      </x:c>
      <x:c r="I94" s="5" t="n">
        <x:f>IFERROR(H94/F94,"")</x:f>
        <x:v>0.021910494106515525</x:v>
      </x:c>
      <x:c r="J94" t="str">
        <x:f>IF(H94&gt;0,"Yes",IF(H94&lt;0,"No","Tie"))</x:f>
        <x:v>Yes</x:v>
      </x:c>
    </x:row>
    <x:row r="95">
      <x:c r="A95" t="str">
        <x:v>PatchTST</x:v>
      </x:c>
      <x:c r="B95" t="str">
        <x:v>ETTh2</x:v>
      </x:c>
      <x:c r="C95" t="n">
        <x:v>192</x:v>
      </x:c>
      <x:c r="D95" t="str">
        <x:v>Baseline</x:v>
      </x:c>
      <x:c r="E95" t="str">
        <x:v>COSA-F</x:v>
      </x:c>
      <x:c r="F95" s="4" t="n">
        <x:v>0.2316</x:v>
      </x:c>
      <x:c r="G95" s="4" t="n">
        <x:v>0.23486915727456412</x:v>
      </x:c>
      <x:c r="H95" s="4" t="n">
        <x:f>IF(OR(F95="",G95=""),"",F95-G95)</x:f>
        <x:v>-0.003269157274564116</x:v>
      </x:c>
      <x:c r="I95" s="5" t="n">
        <x:f>IFERROR(H95/F95,"")</x:f>
        <x:v>-0.014115532273592902</x:v>
      </x:c>
      <x:c r="J95" t="str">
        <x:f>IF(H95&gt;0,"Yes",IF(H95&lt;0,"No","Tie"))</x:f>
        <x:v>No</x:v>
      </x:c>
    </x:row>
    <x:row r="96">
      <x:c r="A96" t="str">
        <x:v>PatchTST</x:v>
      </x:c>
      <x:c r="B96" t="str">
        <x:v>ETTh2</x:v>
      </x:c>
      <x:c r="C96" t="n">
        <x:v>336</x:v>
      </x:c>
      <x:c r="D96" t="str">
        <x:v>Baseline</x:v>
      </x:c>
      <x:c r="E96" t="str">
        <x:v>COSA-F</x:v>
      </x:c>
      <x:c r="F96" s="4" t="n">
        <x:v>0.2641</x:v>
      </x:c>
      <x:c r="G96" s="4" t="n">
        <x:v>0.25714191297690075</x:v>
      </x:c>
      <x:c r="H96" s="4" t="n">
        <x:f>IF(OR(F96="",G96=""),"",F96-G96)</x:f>
        <x:v>0.006958087023099246</x:v>
      </x:c>
      <x:c r="I96" s="5" t="n">
        <x:f>IFERROR(H96/F96,"")</x:f>
        <x:v>0.026346410538050914</x:v>
      </x:c>
      <x:c r="J96" t="str">
        <x:f>IF(H96&gt;0,"Yes",IF(H96&lt;0,"No","Tie"))</x:f>
        <x:v>Yes</x:v>
      </x:c>
    </x:row>
    <x:row r="97">
      <x:c r="A97" t="str">
        <x:v>PatchTST</x:v>
      </x:c>
      <x:c r="B97" t="str">
        <x:v>ETTh2</x:v>
      </x:c>
      <x:c r="C97" t="n">
        <x:v>720</x:v>
      </x:c>
      <x:c r="D97" t="str">
        <x:v>Baseline</x:v>
      </x:c>
      <x:c r="E97" t="str">
        <x:v>COSA-F</x:v>
      </x:c>
      <x:c r="F97" s="4" t="n">
        <x:v>0.31766666666666665</x:v>
      </x:c>
      <x:c r="G97" s="4" t="n">
        <x:v>0.2861035267512004</x:v>
      </x:c>
      <x:c r="H97" s="4" t="n">
        <x:f>IF(OR(F97="",G97=""),"",F97-G97)</x:f>
        <x:v>0.031563139915466276</x:v>
      </x:c>
      <x:c r="I97" s="5" t="n">
        <x:f>IFERROR(H97/F97,"")</x:f>
        <x:v>0.09935930718404914</x:v>
      </x:c>
      <x:c r="J97" t="str">
        <x:f>IF(H97&gt;0,"Yes",IF(H97&lt;0,"No","Tie"))</x:f>
        <x:v>Yes</x:v>
      </x:c>
    </x:row>
    <x:row r="98">
      <x:c r="A98" t="str">
        <x:v>PatchTST</x:v>
      </x:c>
      <x:c r="B98" t="str">
        <x:v>ETTm1</x:v>
      </x:c>
      <x:c r="C98" t="n">
        <x:v>96</x:v>
      </x:c>
      <x:c r="D98" t="str">
        <x:v>Baseline</x:v>
      </x:c>
      <x:c r="E98" t="str">
        <x:v>COSA-F</x:v>
      </x:c>
      <x:c r="F98" s="4" t="n">
        <x:v>0.43866666666666665</x:v>
      </x:c>
      <x:c r="G98" s="4" t="n">
        <x:v>0.3684692084789276</x:v>
      </x:c>
      <x:c r="H98" s="4" t="n">
        <x:f>IF(OR(F98="",G98=""),"",F98-G98)</x:f>
        <x:v>0.07019745818773904</x:v>
      </x:c>
      <x:c r="I98" s="5" t="n">
        <x:f>IFERROR(H98/F98,"")</x:f>
        <x:v>0.1600246007319279</x:v>
      </x:c>
      <x:c r="J98" t="str">
        <x:f>IF(H98&gt;0,"Yes",IF(H98&lt;0,"No","Tie"))</x:f>
        <x:v>Yes</x:v>
      </x:c>
    </x:row>
    <x:row r="99">
      <x:c r="A99" t="str">
        <x:v>PatchTST</x:v>
      </x:c>
      <x:c r="B99" t="str">
        <x:v>ETTm1</x:v>
      </x:c>
      <x:c r="C99" t="n">
        <x:v>192</x:v>
      </x:c>
      <x:c r="D99" t="str">
        <x:v>Baseline</x:v>
      </x:c>
      <x:c r="E99" t="str">
        <x:v>COSA-F</x:v>
      </x:c>
      <x:c r="F99" s="4" t="n">
        <x:v>0.4817</x:v>
      </x:c>
      <x:c r="G99" s="4" t="n">
        <x:v>0.43228967984517414</x:v>
      </x:c>
      <x:c r="H99" s="4" t="n">
        <x:f>IF(OR(F99="",G99=""),"",F99-G99)</x:f>
        <x:v>0.04941032015482588</x:v>
      </x:c>
      <x:c r="I99" s="5" t="n">
        <x:f>IFERROR(H99/F99,"")</x:f>
        <x:v>0.10257488095251377</x:v>
      </x:c>
      <x:c r="J99" t="str">
        <x:f>IF(H99&gt;0,"Yes",IF(H99&lt;0,"No","Tie"))</x:f>
        <x:v>Yes</x:v>
      </x:c>
    </x:row>
    <x:row r="100">
      <x:c r="A100" t="str">
        <x:v>PatchTST</x:v>
      </x:c>
      <x:c r="B100" t="str">
        <x:v>ETTm1</x:v>
      </x:c>
      <x:c r="C100" t="n">
        <x:v>336</x:v>
      </x:c>
      <x:c r="D100" t="str">
        <x:v>Baseline</x:v>
      </x:c>
      <x:c r="E100" t="str">
        <x:v>COSA-F</x:v>
      </x:c>
      <x:c r="F100" s="4" t="n">
        <x:v>0.5403333333333333</x:v>
      </x:c>
      <x:c r="G100" s="4" t="n">
        <x:v>0.49682679772377014</x:v>
      </x:c>
      <x:c r="H100" s="4" t="n">
        <x:f>IF(OR(F100="",G100=""),"",F100-G100)</x:f>
        <x:v>0.04350653560956319</x:v>
      </x:c>
      <x:c r="I100" s="5" t="n">
        <x:f>IFERROR(H100/F100,"")</x:f>
        <x:v>0.08051795609419468</x:v>
      </x:c>
      <x:c r="J100" t="str">
        <x:f>IF(H100&gt;0,"Yes",IF(H100&lt;0,"No","Tie"))</x:f>
        <x:v>Yes</x:v>
      </x:c>
    </x:row>
    <x:row r="101">
      <x:c r="A101" t="str">
        <x:v>PatchTST</x:v>
      </x:c>
      <x:c r="B101" t="str">
        <x:v>ETTm1</x:v>
      </x:c>
      <x:c r="C101" t="n">
        <x:v>720</x:v>
      </x:c>
      <x:c r="D101" t="str">
        <x:v>Baseline</x:v>
      </x:c>
      <x:c r="E101" t="str">
        <x:v>COSA-F</x:v>
      </x:c>
      <x:c r="F101" s="4" t="n">
        <x:v>0.5972333333333334</x:v>
      </x:c>
      <x:c r="G101" s="4" t="n">
        <x:v>0.5308690667152405</x:v>
      </x:c>
      <x:c r="H101" s="4" t="n">
        <x:f>IF(OR(F101="",G101=""),"",F101-G101)</x:f>
        <x:v>0.06636426661809292</x:v>
      </x:c>
      <x:c r="I101" s="5" t="n">
        <x:f>IFERROR(H101/F101,"")</x:f>
        <x:v>0.11111949536991612</x:v>
      </x:c>
      <x:c r="J101" t="str">
        <x:f>IF(H101&gt;0,"Yes",IF(H101&lt;0,"No","Tie"))</x:f>
        <x:v>Yes</x:v>
      </x:c>
    </x:row>
    <x:row r="102">
      <x:c r="A102" t="str">
        <x:v>PatchTST</x:v>
      </x:c>
      <x:c r="B102" t="str">
        <x:v>ETTm2</x:v>
      </x:c>
      <x:c r="C102" t="n">
        <x:v>96</x:v>
      </x:c>
      <x:c r="D102" t="str">
        <x:v>Baseline</x:v>
      </x:c>
      <x:c r="E102" t="str">
        <x:v>COSA-F</x:v>
      </x:c>
      <x:c r="F102" s="4" t="n">
        <x:v>0.12416666666666666</x:v>
      </x:c>
      <x:c r="G102" s="4" t="n">
        <x:v>0.12111697594324748</x:v>
      </x:c>
      <x:c r="H102" s="4" t="n">
        <x:f>IF(OR(F102="",G102=""),"",F102-G102)</x:f>
        <x:v>0.0030496907234191795</x:v>
      </x:c>
      <x:c r="I102" s="5" t="n">
        <x:f>IFERROR(H102/F102,"")</x:f>
        <x:v>0.02456126757116118</x:v>
      </x:c>
      <x:c r="J102" t="str">
        <x:f>IF(H102&gt;0,"Yes",IF(H102&lt;0,"No","Tie"))</x:f>
        <x:v>Yes</x:v>
      </x:c>
    </x:row>
    <x:row r="103">
      <x:c r="A103" t="str">
        <x:v>PatchTST</x:v>
      </x:c>
      <x:c r="B103" t="str">
        <x:v>ETTm2</x:v>
      </x:c>
      <x:c r="C103" t="n">
        <x:v>192</x:v>
      </x:c>
      <x:c r="D103" t="str">
        <x:v>Baseline</x:v>
      </x:c>
      <x:c r="E103" t="str">
        <x:v>COSA-F</x:v>
      </x:c>
      <x:c r="F103" s="4" t="n">
        <x:v>0.15743333333333331</x:v>
      </x:c>
      <x:c r="G103" s="4" t="n">
        <x:v>0.16730952759583792</x:v>
      </x:c>
      <x:c r="H103" s="4" t="n">
        <x:f>IF(OR(F103="",G103=""),"",F103-G103)</x:f>
        <x:v>-0.009876194262504606</x:v>
      </x:c>
      <x:c r="I103" s="5" t="n">
        <x:f>IFERROR(H103/F103,"")</x:f>
        <x:v>-0.06273254877728948</x:v>
      </x:c>
      <x:c r="J103" t="str">
        <x:f>IF(H103&gt;0,"Yes",IF(H103&lt;0,"No","Tie"))</x:f>
        <x:v>No</x:v>
      </x:c>
    </x:row>
    <x:row r="104">
      <x:c r="A104" t="str">
        <x:v>PatchTST</x:v>
      </x:c>
      <x:c r="B104" t="str">
        <x:v>ETTm2</x:v>
      </x:c>
      <x:c r="C104" t="n">
        <x:v>336</x:v>
      </x:c>
      <x:c r="D104" t="str">
        <x:v>Baseline</x:v>
      </x:c>
      <x:c r="E104" t="str">
        <x:v>COSA-F</x:v>
      </x:c>
      <x:c r="F104" s="4" t="n">
        <x:v>0.19493333333333332</x:v>
      </x:c>
      <x:c r="G104" s="4" t="n">
        <x:v>0.19834870100021362</x:v>
      </x:c>
      <x:c r="H104" s="4" t="n">
        <x:f>IF(OR(F104="",G104=""),"",F104-G104)</x:f>
        <x:v>-0.0034153676668803035</x:v>
      </x:c>
      <x:c r="I104" s="5" t="n">
        <x:f>IFERROR(H104/F104,"")</x:f>
        <x:v>-0.017520695965528233</x:v>
      </x:c>
      <x:c r="J104" t="str">
        <x:f>IF(H104&gt;0,"Yes",IF(H104&lt;0,"No","Tie"))</x:f>
        <x:v>No</x:v>
      </x:c>
    </x:row>
    <x:row r="105">
      <x:c r="A105" t="str">
        <x:v>PatchTST</x:v>
      </x:c>
      <x:c r="B105" t="str">
        <x:v>ETTm2</x:v>
      </x:c>
      <x:c r="C105" t="n">
        <x:v>720</x:v>
      </x:c>
      <x:c r="D105" t="str">
        <x:v>Baseline</x:v>
      </x:c>
      <x:c r="E105" t="str">
        <x:v>COSA-F</x:v>
      </x:c>
      <x:c r="F105" s="4" t="n">
        <x:v>0.24963333333333332</x:v>
      </x:c>
      <x:c r="G105" s="4" t="n">
        <x:v>0.22203551729520163</x:v>
      </x:c>
      <x:c r="H105" s="4" t="n">
        <x:f>IF(OR(F105="",G105=""),"",F105-G105)</x:f>
        <x:v>0.02759781603813169</x:v>
      </x:c>
      <x:c r="I105" s="5" t="n">
        <x:f>IFERROR(H105/F105,"")</x:f>
        <x:v>0.11055340915261727</x:v>
      </x:c>
      <x:c r="J105" t="str">
        <x:f>IF(H105&gt;0,"Yes",IF(H105&lt;0,"No","Tie"))</x:f>
        <x:v>Yes</x:v>
      </x:c>
    </x:row>
    <x:row r="106">
      <x:c r="A106" t="str">
        <x:v>PatchTST</x:v>
      </x:c>
      <x:c r="B106" t="str">
        <x:v>Exchange Rate</x:v>
      </x:c>
      <x:c r="C106" t="n">
        <x:v>96</x:v>
      </x:c>
      <x:c r="D106" t="str">
        <x:v>Baseline</x:v>
      </x:c>
      <x:c r="E106" t="str">
        <x:v>COSA-F</x:v>
      </x:c>
      <x:c r="F106" s="4" t="n">
        <x:v>0.09373333333333334</x:v>
      </x:c>
      <x:c r="G106" s="4" t="n">
        <x:v>0.08002660671869914</x:v>
      </x:c>
      <x:c r="H106" s="4" t="n">
        <x:f>IF(OR(F106="",G106=""),"",F106-G106)</x:f>
        <x:v>0.013706726614634193</x:v>
      </x:c>
      <x:c r="I106" s="5" t="n">
        <x:f>IFERROR(H106/F106,"")</x:f>
        <x:v>0.14623108052596934</x:v>
      </x:c>
      <x:c r="J106" t="str">
        <x:f>IF(H106&gt;0,"Yes",IF(H106&lt;0,"No","Tie"))</x:f>
        <x:v>Yes</x:v>
      </x:c>
    </x:row>
    <x:row r="107">
      <x:c r="A107" t="str">
        <x:v>PatchTST</x:v>
      </x:c>
      <x:c r="B107" t="str">
        <x:v>Exchange Rate</x:v>
      </x:c>
      <x:c r="C107" t="n">
        <x:v>192</x:v>
      </x:c>
      <x:c r="D107" t="str">
        <x:v>Baseline</x:v>
      </x:c>
      <x:c r="E107" t="str">
        <x:v>COSA-F</x:v>
      </x:c>
      <x:c r="F107" s="4" t="n">
        <x:v>0.18626666666666666</x:v>
      </x:c>
      <x:c r="G107" s="4" t="n">
        <x:v>0.1569869170586268</x:v>
      </x:c>
      <x:c r="H107" s="4" t="n">
        <x:f>IF(OR(F107="",G107=""),"",F107-G107)</x:f>
        <x:v>0.029279749608039862</x:v>
      </x:c>
      <x:c r="I107" s="5" t="n">
        <x:f>IFERROR(H107/F107,"")</x:f>
        <x:v>0.15719264284917608</x:v>
      </x:c>
      <x:c r="J107" t="str">
        <x:f>IF(H107&gt;0,"Yes",IF(H107&lt;0,"No","Tie"))</x:f>
        <x:v>Yes</x:v>
      </x:c>
    </x:row>
    <x:row r="108">
      <x:c r="A108" t="str">
        <x:v>PatchTST</x:v>
      </x:c>
      <x:c r="B108" t="str">
        <x:v>Exchange Rate</x:v>
      </x:c>
      <x:c r="C108" t="n">
        <x:v>336</x:v>
      </x:c>
      <x:c r="D108" t="str">
        <x:v>Baseline</x:v>
      </x:c>
      <x:c r="E108" t="str">
        <x:v>COSA-F</x:v>
      </x:c>
      <x:c r="F108" s="4" t="n">
        <x:v>0.35833333333333334</x:v>
      </x:c>
      <x:c r="G108" s="4" t="n">
        <x:v>0.2557789087295532</x:v>
      </x:c>
      <x:c r="H108" s="4" t="n">
        <x:f>IF(OR(F108="",G108=""),"",F108-G108)</x:f>
        <x:v>0.10255442460378011</x:v>
      </x:c>
      <x:c r="I108" s="5" t="n">
        <x:f>IFERROR(H108/F108,"")</x:f>
        <x:v>0.2861983942431073</x:v>
      </x:c>
      <x:c r="J108" t="str">
        <x:f>IF(H108&gt;0,"Yes",IF(H108&lt;0,"No","Tie"))</x:f>
        <x:v>Yes</x:v>
      </x:c>
    </x:row>
    <x:row r="109">
      <x:c r="A109" t="str">
        <x:v>PatchTST</x:v>
      </x:c>
      <x:c r="B109" t="str">
        <x:v>Exchange Rate</x:v>
      </x:c>
      <x:c r="C109" t="n">
        <x:v>720</x:v>
      </x:c>
      <x:c r="D109" t="str">
        <x:v>Baseline</x:v>
      </x:c>
      <x:c r="E109" t="str">
        <x:v>COSA-F</x:v>
      </x:c>
      <x:c r="F109" s="4" t="n">
        <x:v>0.8914</x:v>
      </x:c>
      <x:c r="G109" s="4" t="n">
        <x:v>0.34203078349431354</x:v>
      </x:c>
      <x:c r="H109" s="4" t="n">
        <x:f>IF(OR(F109="",G109=""),"",F109-G109)</x:f>
        <x:v>0.5493692165056865</x:v>
      </x:c>
      <x:c r="I109" s="5" t="n">
        <x:f>IFERROR(H109/F109,"")</x:f>
        <x:v>0.6162993229814746</x:v>
      </x:c>
      <x:c r="J109" t="str">
        <x:f>IF(H109&gt;0,"Yes",IF(H109&lt;0,"No","Tie"))</x:f>
        <x:v>Yes</x:v>
      </x:c>
    </x:row>
    <x:row r="110">
      <x:c r="A110" t="str">
        <x:v>PatchTST</x:v>
      </x:c>
      <x:c r="B110" t="str">
        <x:v>weather</x:v>
      </x:c>
      <x:c r="C110" t="n">
        <x:v>96</x:v>
      </x:c>
      <x:c r="D110" t="str">
        <x:v>Baseline</x:v>
      </x:c>
      <x:c r="E110" t="str">
        <x:v>COSA-F</x:v>
      </x:c>
      <x:c r="F110" s="4" t="n">
        <x:v>0.17926666666666666</x:v>
      </x:c>
      <x:c r="G110" s="4" t="n">
        <x:v>0.16996556520462036</x:v>
      </x:c>
      <x:c r="H110" s="4" t="n">
        <x:f>IF(OR(F110="",G110=""),"",F110-G110)</x:f>
        <x:v>0.009301101462046296</x:v>
      </x:c>
      <x:c r="I110" s="5" t="n">
        <x:f>IFERROR(H110/F110,"")</x:f>
        <x:v>0.05188416583514111</x:v>
      </x:c>
      <x:c r="J110" t="str">
        <x:f>IF(H110&gt;0,"Yes",IF(H110&lt;0,"No","Tie"))</x:f>
        <x:v>Yes</x:v>
      </x:c>
    </x:row>
    <x:row r="111">
      <x:c r="A111" t="str">
        <x:v>PatchTST</x:v>
      </x:c>
      <x:c r="B111" t="str">
        <x:v>weather</x:v>
      </x:c>
      <x:c r="C111" t="n">
        <x:v>192</x:v>
      </x:c>
      <x:c r="D111" t="str">
        <x:v>Baseline</x:v>
      </x:c>
      <x:c r="E111" t="str">
        <x:v>COSA-F</x:v>
      </x:c>
      <x:c r="F111" s="4" t="n">
        <x:v>0.2265</x:v>
      </x:c>
      <x:c r="G111" s="4" t="n">
        <x:v>0.22353105743726095</x:v>
      </x:c>
      <x:c r="H111" s="4" t="n">
        <x:f>IF(OR(F111="",G111=""),"",F111-G111)</x:f>
        <x:v>0.002968942562739052</x:v>
      </x:c>
      <x:c r="I111" s="5" t="n">
        <x:f>IFERROR(H111/F111,"")</x:f>
        <x:v>0.013107914184278376</x:v>
      </x:c>
      <x:c r="J111" t="str">
        <x:f>IF(H111&gt;0,"Yes",IF(H111&lt;0,"No","Tie"))</x:f>
        <x:v>Yes</x:v>
      </x:c>
    </x:row>
    <x:row r="112">
      <x:c r="A112" t="str">
        <x:v>PatchTST</x:v>
      </x:c>
      <x:c r="B112" t="str">
        <x:v>weather</x:v>
      </x:c>
      <x:c r="C112" t="n">
        <x:v>336</x:v>
      </x:c>
      <x:c r="D112" t="str">
        <x:v>Baseline</x:v>
      </x:c>
      <x:c r="E112" t="str">
        <x:v>COSA-F</x:v>
      </x:c>
      <x:c r="F112" s="4" t="n">
        <x:v>0.28106666666666663</x:v>
      </x:c>
      <x:c r="G112" s="4" t="n">
        <x:v>0.29285919666290283</x:v>
      </x:c>
      <x:c r="H112" s="4" t="n">
        <x:f>IF(OR(F112="",G112=""),"",F112-G112)</x:f>
        <x:v>-0.0117925299962362</x:v>
      </x:c>
      <x:c r="I112" s="5" t="n">
        <x:f>IFERROR(H112/F112,"")</x:f>
        <x:v>-0.04195634486326922</x:v>
      </x:c>
      <x:c r="J112" t="str">
        <x:f>IF(H112&gt;0,"Yes",IF(H112&lt;0,"No","Tie"))</x:f>
        <x:v>No</x:v>
      </x:c>
    </x:row>
    <x:row r="113">
      <x:c r="A113" t="str">
        <x:v>PatchTST</x:v>
      </x:c>
      <x:c r="B113" t="str">
        <x:v>weather</x:v>
      </x:c>
      <x:c r="C113" t="n">
        <x:v>720</x:v>
      </x:c>
      <x:c r="D113" t="str">
        <x:v>Baseline</x:v>
      </x:c>
      <x:c r="E113" t="str">
        <x:v>COSA-F</x:v>
      </x:c>
      <x:c r="F113" s="4" t="n">
        <x:v>0.35896666666666666</x:v>
      </x:c>
      <x:c r="G113" s="4" t="n">
        <x:v>0.3360040485858917</x:v>
      </x:c>
      <x:c r="H113" s="4" t="n">
        <x:f>IF(OR(F113="",G113=""),"",F113-G113)</x:f>
        <x:v>0.022962618080774932</x:v>
      </x:c>
      <x:c r="I113" s="5" t="n">
        <x:f>IFERROR(H113/F113,"")</x:f>
        <x:v>0.06396866398210121</x:v>
      </x:c>
      <x:c r="J113" t="str">
        <x:f>IF(H113&gt;0,"Yes",IF(H113&lt;0,"No","Tie"))</x:f>
        <x:v>Yes</x:v>
      </x:c>
    </x:row>
    <x:row r="114">
      <x:c r="A114" t="str">
        <x:v>OLS</x:v>
      </x:c>
      <x:c r="B114" t="str">
        <x:v>ETTh1</x:v>
      </x:c>
      <x:c r="C114" t="n">
        <x:v>96</x:v>
      </x:c>
      <x:c r="D114" t="str">
        <x:v>Baseline</x:v>
      </x:c>
      <x:c r="E114" t="str">
        <x:v>COSA-F</x:v>
      </x:c>
      <x:c r="F114" s="4" t="n">
        <x:v>0.4421</x:v>
      </x:c>
      <x:c r="G114" s="4" t="n">
        <x:v>0.4344470798969269</x:v>
      </x:c>
      <x:c r="H114" s="4" t="n">
        <x:f>IF(OR(F114="",G114=""),"",F114-G114)</x:f>
        <x:v>0.007652920103073113</x:v>
      </x:c>
      <x:c r="I114" s="5" t="n">
        <x:f>IFERROR(H114/F114,"")</x:f>
        <x:v>0.017310382499599895</x:v>
      </x:c>
      <x:c r="J114" t="str">
        <x:f>IF(H114&gt;0,"Yes",IF(H114&lt;0,"No","Tie"))</x:f>
        <x:v>Yes</x:v>
      </x:c>
    </x:row>
    <x:row r="115">
      <x:c r="A115" t="str">
        <x:v>OLS</x:v>
      </x:c>
      <x:c r="B115" t="str">
        <x:v>ETTh1</x:v>
      </x:c>
      <x:c r="C115" t="n">
        <x:v>192</x:v>
      </x:c>
      <x:c r="D115" t="str">
        <x:v>Baseline</x:v>
      </x:c>
      <x:c r="E115" t="str">
        <x:v>COSA-F</x:v>
      </x:c>
      <x:c r="F115" s="4" t="n">
        <x:v>0.4966333333333333</x:v>
      </x:c>
      <x:c r="G115" s="4" t="n">
        <x:v>0.49989547332127887</x:v>
      </x:c>
      <x:c r="H115" s="4" t="n">
        <x:f>IF(OR(F115="",G115=""),"",F115-G115)</x:f>
        <x:v>-0.003262139987945556</x:v>
      </x:c>
      <x:c r="I115" s="5" t="n">
        <x:f>IFERROR(H115/F115,"")</x:f>
        <x:v>-0.006568507929281609</x:v>
      </x:c>
      <x:c r="J115" t="str">
        <x:f>IF(H115&gt;0,"Yes",IF(H115&lt;0,"No","Tie"))</x:f>
        <x:v>No</x:v>
      </x:c>
    </x:row>
    <x:row r="116">
      <x:c r="A116" t="str">
        <x:v>OLS</x:v>
      </x:c>
      <x:c r="B116" t="str">
        <x:v>ETTh1</x:v>
      </x:c>
      <x:c r="C116" t="n">
        <x:v>336</x:v>
      </x:c>
      <x:c r="D116" t="str">
        <x:v>Baseline</x:v>
      </x:c>
      <x:c r="E116" t="str">
        <x:v>COSA-F</x:v>
      </x:c>
      <x:c r="F116" s="4" t="n">
        <x:v>0.5459</x:v>
      </x:c>
      <x:c r="G116" s="4" t="n">
        <x:v>0.5567370851834615</x:v>
      </x:c>
      <x:c r="H116" s="4" t="n">
        <x:f>IF(OR(F116="",G116=""),"",F116-G116)</x:f>
        <x:v>-0.010837085183461492</x:v>
      </x:c>
      <x:c r="I116" s="5" t="n">
        <x:f>IFERROR(H116/F116,"")</x:f>
        <x:v>-0.019851777218284468</x:v>
      </x:c>
      <x:c r="J116" t="str">
        <x:f>IF(H116&gt;0,"Yes",IF(H116&lt;0,"No","Tie"))</x:f>
        <x:v>No</x:v>
      </x:c>
    </x:row>
    <x:row r="117">
      <x:c r="A117" t="str">
        <x:v>OLS</x:v>
      </x:c>
      <x:c r="B117" t="str">
        <x:v>ETTh1</x:v>
      </x:c>
      <x:c r="C117" t="n">
        <x:v>720</x:v>
      </x:c>
      <x:c r="D117" t="str">
        <x:v>Baseline</x:v>
      </x:c>
      <x:c r="E117" t="str">
        <x:v>COSA-F</x:v>
      </x:c>
      <x:c r="F117" s="4" t="n">
        <x:v>0.6998333333333333</x:v>
      </x:c>
      <x:c r="G117" s="4" t="n">
        <x:v>0.6455339392026266</x:v>
      </x:c>
      <x:c r="H117" s="4" t="n">
        <x:f>IF(OR(F117="",G117=""),"",F117-G117)</x:f>
        <x:v>0.054299394130706724</x:v>
      </x:c>
      <x:c r="I117" s="5" t="n">
        <x:f>IFERROR(H117/F117,"")</x:f>
        <x:v>0.07758903662401533</x:v>
      </x:c>
      <x:c r="J117" t="str">
        <x:f>IF(H117&gt;0,"Yes",IF(H117&lt;0,"No","Tie"))</x:f>
        <x:v>Yes</x:v>
      </x:c>
    </x:row>
    <x:row r="118">
      <x:c r="A118" t="str">
        <x:v>OLS</x:v>
      </x:c>
      <x:c r="B118" t="str">
        <x:v>ETTh2</x:v>
      </x:c>
      <x:c r="C118" t="n">
        <x:v>96</x:v>
      </x:c>
      <x:c r="D118" t="str">
        <x:v>Baseline</x:v>
      </x:c>
      <x:c r="E118" t="str">
        <x:v>COSA-F</x:v>
      </x:c>
      <x:c r="F118" s="4" t="n">
        <x:v>0.17953333333333332</x:v>
      </x:c>
      <x:c r="G118" s="4" t="n">
        <x:v>0.1797500898440679</x:v>
      </x:c>
      <x:c r="H118" s="4" t="n">
        <x:f>IF(OR(F118="",G118=""),"",F118-G118)</x:f>
        <x:v>-0.00021675651073457813</x:v>
      </x:c>
      <x:c r="I118" s="5" t="n">
        <x:f>IFERROR(H118/F118,"")</x:f>
        <x:v>-0.0012073329599029603</x:v>
      </x:c>
      <x:c r="J118" t="str">
        <x:f>IF(H118&gt;0,"Yes",IF(H118&lt;0,"No","Tie"))</x:f>
        <x:v>No</x:v>
      </x:c>
    </x:row>
    <x:row r="119">
      <x:c r="A119" t="str">
        <x:v>OLS</x:v>
      </x:c>
      <x:c r="B119" t="str">
        <x:v>ETTh2</x:v>
      </x:c>
      <x:c r="C119" t="n">
        <x:v>192</x:v>
      </x:c>
      <x:c r="D119" t="str">
        <x:v>Baseline</x:v>
      </x:c>
      <x:c r="E119" t="str">
        <x:v>COSA-F</x:v>
      </x:c>
      <x:c r="F119" s="4" t="n">
        <x:v>0.22116666666666668</x:v>
      </x:c>
      <x:c r="G119" s="4" t="n">
        <x:v>0.22823808093865713</x:v>
      </x:c>
      <x:c r="H119" s="4" t="n">
        <x:f>IF(OR(F119="",G119=""),"",F119-G119)</x:f>
        <x:v>-0.007071414271990456</x:v>
      </x:c>
      <x:c r="I119" s="5" t="n">
        <x:f>IFERROR(H119/F119,"")</x:f>
        <x:v>-0.03197323710018292</x:v>
      </x:c>
      <x:c r="J119" t="str">
        <x:f>IF(H119&gt;0,"Yes",IF(H119&lt;0,"No","Tie"))</x:f>
        <x:v>No</x:v>
      </x:c>
    </x:row>
    <x:row r="120">
      <x:c r="A120" t="str">
        <x:v>OLS</x:v>
      </x:c>
      <x:c r="B120" t="str">
        <x:v>ETTh2</x:v>
      </x:c>
      <x:c r="C120" t="n">
        <x:v>336</x:v>
      </x:c>
      <x:c r="D120" t="str">
        <x:v>Baseline</x:v>
      </x:c>
      <x:c r="E120" t="str">
        <x:v>COSA-F</x:v>
      </x:c>
      <x:c r="F120" s="4" t="n">
        <x:v>0.2524666666666667</x:v>
      </x:c>
      <x:c r="G120" s="4" t="n">
        <x:v>0.25011977056662243</x:v>
      </x:c>
      <x:c r="H120" s="4" t="n">
        <x:f>IF(OR(F120="",G120=""),"",F120-G120)</x:f>
        <x:v>0.002346896100044238</x:v>
      </x:c>
      <x:c r="I120" s="5" t="n">
        <x:f>IFERROR(H120/F120,"")</x:f>
        <x:v>0.009295865196900862</x:v>
      </x:c>
      <x:c r="J120" t="str">
        <x:f>IF(H120&gt;0,"Yes",IF(H120&lt;0,"No","Tie"))</x:f>
        <x:v>Yes</x:v>
      </x:c>
    </x:row>
    <x:row r="121">
      <x:c r="A121" t="str">
        <x:v>OLS</x:v>
      </x:c>
      <x:c r="B121" t="str">
        <x:v>ETTh2</x:v>
      </x:c>
      <x:c r="C121" t="n">
        <x:v>720</x:v>
      </x:c>
      <x:c r="D121" t="str">
        <x:v>Baseline</x:v>
      </x:c>
      <x:c r="E121" t="str">
        <x:v>COSA-F</x:v>
      </x:c>
      <x:c r="F121" s="4" t="n">
        <x:v>0.32626666666666665</x:v>
      </x:c>
      <x:c r="G121" s="4" t="n">
        <x:v>0.2768460710843404</x:v>
      </x:c>
      <x:c r="H121" s="4" t="n">
        <x:f>IF(OR(F121="",G121=""),"",F121-G121)</x:f>
        <x:v>0.049420595582326254</x:v>
      </x:c>
      <x:c r="I121" s="5" t="n">
        <x:f>IFERROR(H121/F121,"")</x:f>
        <x:v>0.15147301465772248</x:v>
      </x:c>
      <x:c r="J121" t="str">
        <x:f>IF(H121&gt;0,"Yes",IF(H121&lt;0,"No","Tie"))</x:f>
        <x:v>Yes</x:v>
      </x:c>
    </x:row>
    <x:row r="122">
      <x:c r="A122" t="str">
        <x:v>OLS</x:v>
      </x:c>
      <x:c r="B122" t="str">
        <x:v>ETTm1</x:v>
      </x:c>
      <x:c r="C122" t="n">
        <x:v>96</x:v>
      </x:c>
      <x:c r="D122" t="str">
        <x:v>Baseline</x:v>
      </x:c>
      <x:c r="E122" t="str">
        <x:v>COSA-F</x:v>
      </x:c>
      <x:c r="F122" s="4" t="n">
        <x:v>0.3623</x:v>
      </x:c>
      <x:c r="G122" s="4" t="n">
        <x:v>0.3495773871739705</x:v>
      </x:c>
      <x:c r="H122" s="4" t="n">
        <x:f>IF(OR(F122="",G122=""),"",F122-G122)</x:f>
        <x:v>0.012722612826029489</x:v>
      </x:c>
      <x:c r="I122" s="5" t="n">
        <x:f>IFERROR(H122/F122,"")</x:f>
        <x:v>0.035116237444188486</x:v>
      </x:c>
      <x:c r="J122" t="str">
        <x:f>IF(H122&gt;0,"Yes",IF(H122&lt;0,"No","Tie"))</x:f>
        <x:v>Yes</x:v>
      </x:c>
    </x:row>
    <x:row r="123">
      <x:c r="A123" t="str">
        <x:v>OLS</x:v>
      </x:c>
      <x:c r="B123" t="str">
        <x:v>ETTm1</x:v>
      </x:c>
      <x:c r="C123" t="n">
        <x:v>192</x:v>
      </x:c>
      <x:c r="D123" t="str">
        <x:v>Baseline</x:v>
      </x:c>
      <x:c r="E123" t="str">
        <x:v>COSA-F</x:v>
      </x:c>
      <x:c r="F123" s="4" t="n">
        <x:v>0.43243333333333334</x:v>
      </x:c>
      <x:c r="G123" s="4" t="n">
        <x:v>0.4258988897005717</x:v>
      </x:c>
      <x:c r="H123" s="4" t="n">
        <x:f>IF(OR(F123="",G123=""),"",F123-G123)</x:f>
        <x:v>0.006534443632761622</x:v>
      </x:c>
      <x:c r="I123" s="5" t="n">
        <x:f>IFERROR(H123/F123,"")</x:f>
        <x:v>0.015110869419783292</x:v>
      </x:c>
      <x:c r="J123" t="str">
        <x:f>IF(H123&gt;0,"Yes",IF(H123&lt;0,"No","Tie"))</x:f>
        <x:v>Yes</x:v>
      </x:c>
    </x:row>
    <x:row r="124">
      <x:c r="A124" t="str">
        <x:v>OLS</x:v>
      </x:c>
      <x:c r="B124" t="str">
        <x:v>ETTm1</x:v>
      </x:c>
      <x:c r="C124" t="n">
        <x:v>336</x:v>
      </x:c>
      <x:c r="D124" t="str">
        <x:v>Baseline</x:v>
      </x:c>
      <x:c r="E124" t="str">
        <x:v>COSA-F</x:v>
      </x:c>
      <x:c r="F124" s="4" t="n">
        <x:v>0.505</x:v>
      </x:c>
      <x:c r="G124" s="4" t="n">
        <x:v>0.5017567276954651</x:v>
      </x:c>
      <x:c r="H124" s="4" t="n">
        <x:f>IF(OR(F124="",G124=""),"",F124-G124)</x:f>
        <x:v>0.0032432723045349166</x:v>
      </x:c>
      <x:c r="I124" s="5" t="n">
        <x:f>IFERROR(H124/F124,"")</x:f>
        <x:v>0.006422321395118647</x:v>
      </x:c>
      <x:c r="J124" t="str">
        <x:f>IF(H124&gt;0,"Yes",IF(H124&lt;0,"No","Tie"))</x:f>
        <x:v>Yes</x:v>
      </x:c>
    </x:row>
    <x:row r="125">
      <x:c r="A125" t="str">
        <x:v>OLS</x:v>
      </x:c>
      <x:c r="B125" t="str">
        <x:v>ETTm1</x:v>
      </x:c>
      <x:c r="C125" t="n">
        <x:v>720</x:v>
      </x:c>
      <x:c r="D125" t="str">
        <x:v>Baseline</x:v>
      </x:c>
      <x:c r="E125" t="str">
        <x:v>COSA-F</x:v>
      </x:c>
      <x:c r="F125" s="4" t="n">
        <x:v>0.5793</x:v>
      </x:c>
      <x:c r="G125" s="4" t="n">
        <x:v>0.542260984579722</x:v>
      </x:c>
      <x:c r="H125" s="4" t="n">
        <x:f>IF(OR(F125="",G125=""),"",F125-G125)</x:f>
        <x:v>0.03703901542027799</x:v>
      </x:c>
      <x:c r="I125" s="5" t="n">
        <x:f>IFERROR(H125/F125,"")</x:f>
        <x:v>0.06393753740769546</x:v>
      </x:c>
      <x:c r="J125" t="str">
        <x:f>IF(H125&gt;0,"Yes",IF(H125&lt;0,"No","Tie"))</x:f>
        <x:v>Yes</x:v>
      </x:c>
    </x:row>
    <x:row r="126">
      <x:c r="A126" t="str">
        <x:v>OLS</x:v>
      </x:c>
      <x:c r="B126" t="str">
        <x:v>ETTm2</x:v>
      </x:c>
      <x:c r="C126" t="n">
        <x:v>96</x:v>
      </x:c>
      <x:c r="D126" t="str">
        <x:v>Baseline</x:v>
      </x:c>
      <x:c r="E126" t="str">
        <x:v>COSA-F</x:v>
      </x:c>
      <x:c r="F126" s="4" t="n">
        <x:v>0.12133333333333333</x:v>
      </x:c>
      <x:c r="G126" s="4" t="n">
        <x:v>0.12283460299173991</x:v>
      </x:c>
      <x:c r="H126" s="4" t="n">
        <x:f>IF(OR(F126="",G126=""),"",F126-G126)</x:f>
        <x:v>-0.0015012696584065788</x:v>
      </x:c>
      <x:c r="I126" s="5" t="n">
        <x:f>IFERROR(H126/F126,"")</x:f>
        <x:v>-0.012373101580274</x:v>
      </x:c>
      <x:c r="J126" t="str">
        <x:f>IF(H126&gt;0,"Yes",IF(H126&lt;0,"No","Tie"))</x:f>
        <x:v>No</x:v>
      </x:c>
    </x:row>
    <x:row r="127">
      <x:c r="A127" t="str">
        <x:v>OLS</x:v>
      </x:c>
      <x:c r="B127" t="str">
        <x:v>ETTm2</x:v>
      </x:c>
      <x:c r="C127" t="n">
        <x:v>192</x:v>
      </x:c>
      <x:c r="D127" t="str">
        <x:v>Baseline</x:v>
      </x:c>
      <x:c r="E127" t="str">
        <x:v>COSA-F</x:v>
      </x:c>
      <x:c r="F127" s="4" t="n">
        <x:v>0.1497</x:v>
      </x:c>
      <x:c r="G127" s="4" t="n">
        <x:v>0.16389205058415732</x:v>
      </x:c>
      <x:c r="H127" s="4" t="n">
        <x:f>IF(OR(F127="",G127=""),"",F127-G127)</x:f>
        <x:v>-0.014192050584157317</x:v>
      </x:c>
      <x:c r="I127" s="5" t="n">
        <x:f>IFERROR(H127/F127,"")</x:f>
        <x:v>-0.09480327711527935</x:v>
      </x:c>
      <x:c r="J127" t="str">
        <x:f>IF(H127&gt;0,"Yes",IF(H127&lt;0,"No","Tie"))</x:f>
        <x:v>No</x:v>
      </x:c>
    </x:row>
    <x:row r="128">
      <x:c r="A128" t="str">
        <x:v>OLS</x:v>
      </x:c>
      <x:c r="B128" t="str">
        <x:v>ETTm2</x:v>
      </x:c>
      <x:c r="C128" t="n">
        <x:v>336</x:v>
      </x:c>
      <x:c r="D128" t="str">
        <x:v>Baseline</x:v>
      </x:c>
      <x:c r="E128" t="str">
        <x:v>COSA-F</x:v>
      </x:c>
      <x:c r="F128" s="4" t="n">
        <x:v>0.18306666666666668</x:v>
      </x:c>
      <x:c r="G128" s="4" t="n">
        <x:v>0.190484419465065</x:v>
      </x:c>
      <x:c r="H128" s="4" t="n">
        <x:f>IF(OR(F128="",G128=""),"",F128-G128)</x:f>
        <x:v>-0.007417752798398319</x:v>
      </x:c>
      <x:c r="I128" s="5" t="n">
        <x:f>IFERROR(H128/F128,"")</x:f>
        <x:v>-0.0405194071289056</x:v>
      </x:c>
      <x:c r="J128" t="str">
        <x:f>IF(H128&gt;0,"Yes",IF(H128&lt;0,"No","Tie"))</x:f>
        <x:v>No</x:v>
      </x:c>
    </x:row>
    <x:row r="129">
      <x:c r="A129" t="str">
        <x:v>OLS</x:v>
      </x:c>
      <x:c r="B129" t="str">
        <x:v>ETTm2</x:v>
      </x:c>
      <x:c r="C129" t="n">
        <x:v>720</x:v>
      </x:c>
      <x:c r="D129" t="str">
        <x:v>Baseline</x:v>
      </x:c>
      <x:c r="E129" t="str">
        <x:v>COSA-F</x:v>
      </x:c>
      <x:c r="F129" s="4" t="n">
        <x:v>0.24123333333333333</x:v>
      </x:c>
      <x:c r="G129" s="4" t="n">
        <x:v>0.22198081016540527</x:v>
      </x:c>
      <x:c r="H129" s="4" t="n">
        <x:f>IF(OR(F129="",G129=""),"",F129-G129)</x:f>
        <x:v>0.019252523167928054</x:v>
      </x:c>
      <x:c r="I129" s="5" t="n">
        <x:f>IFERROR(H129/F129,"")</x:f>
        <x:v>0.07980871839682764</x:v>
      </x:c>
      <x:c r="J129" t="str">
        <x:f>IF(H129&gt;0,"Yes",IF(H129&lt;0,"No","Tie"))</x:f>
        <x:v>Yes</x:v>
      </x:c>
    </x:row>
    <x:row r="130">
      <x:c r="A130" t="str">
        <x:v>OLS</x:v>
      </x:c>
      <x:c r="B130" t="str">
        <x:v>Exchange Rate</x:v>
      </x:c>
      <x:c r="C130" t="n">
        <x:v>96</x:v>
      </x:c>
      <x:c r="D130" t="str">
        <x:v>Baseline</x:v>
      </x:c>
      <x:c r="E130" t="str">
        <x:v>COSA-F</x:v>
      </x:c>
      <x:c r="F130" s="4" t="n">
        <x:v>0.08143333333333333</x:v>
      </x:c>
      <x:c r="G130" s="4" t="n">
        <x:v>0.07885446151097615</x:v>
      </x:c>
      <x:c r="H130" s="4" t="n">
        <x:f>IF(OR(F130="",G130=""),"",F130-G130)</x:f>
        <x:v>0.002578871822357179</x:v>
      </x:c>
      <x:c r="I130" s="5" t="n">
        <x:f>IFERROR(H130/F130,"")</x:f>
        <x:v>0.031668503753874484</x:v>
      </x:c>
      <x:c r="J130" t="str">
        <x:f>IF(H130&gt;0,"Yes",IF(H130&lt;0,"No","Tie"))</x:f>
        <x:v>Yes</x:v>
      </x:c>
    </x:row>
    <x:row r="131">
      <x:c r="A131" t="str">
        <x:v>OLS</x:v>
      </x:c>
      <x:c r="B131" t="str">
        <x:v>Exchange Rate</x:v>
      </x:c>
      <x:c r="C131" t="n">
        <x:v>192</x:v>
      </x:c>
      <x:c r="D131" t="str">
        <x:v>Baseline</x:v>
      </x:c>
      <x:c r="E131" t="str">
        <x:v>COSA-F</x:v>
      </x:c>
      <x:c r="F131" s="4" t="n">
        <x:v>0.1722</x:v>
      </x:c>
      <x:c r="G131" s="4" t="n">
        <x:v>0.15232479572296143</x:v>
      </x:c>
      <x:c r="H131" s="4" t="n">
        <x:f>IF(OR(F131="",G131=""),"",F131-G131)</x:f>
        <x:v>0.019875204277038566</x:v>
      </x:c>
      <x:c r="I131" s="5" t="n">
        <x:f>IFERROR(H131/F131,"")</x:f>
        <x:v>0.11541930474470713</x:v>
      </x:c>
      <x:c r="J131" t="str">
        <x:f>IF(H131&gt;0,"Yes",IF(H131&lt;0,"No","Tie"))</x:f>
        <x:v>Yes</x:v>
      </x:c>
    </x:row>
    <x:row r="132">
      <x:c r="A132" t="str">
        <x:v>OLS</x:v>
      </x:c>
      <x:c r="B132" t="str">
        <x:v>Exchange Rate</x:v>
      </x:c>
      <x:c r="C132" t="n">
        <x:v>336</x:v>
      </x:c>
      <x:c r="D132" t="str">
        <x:v>Baseline</x:v>
      </x:c>
      <x:c r="E132" t="str">
        <x:v>COSA-F</x:v>
      </x:c>
      <x:c r="F132" s="4" t="n">
        <x:v>0.32256666666666667</x:v>
      </x:c>
      <x:c r="G132" s="4" t="n">
        <x:v>0.21848771472771963</x:v>
      </x:c>
      <x:c r="H132" s="4" t="n">
        <x:f>IF(OR(F132="",G132=""),"",F132-G132)</x:f>
        <x:v>0.10407895193894703</x:v>
      </x:c>
      <x:c r="I132" s="5" t="n">
        <x:f>IFERROR(H132/F132,"")</x:f>
        <x:v>0.322658732889161</x:v>
      </x:c>
      <x:c r="J132" t="str">
        <x:f>IF(H132&gt;0,"Yes",IF(H132&lt;0,"No","Tie"))</x:f>
        <x:v>Yes</x:v>
      </x:c>
    </x:row>
    <x:row r="133">
      <x:c r="A133" t="str">
        <x:v>OLS</x:v>
      </x:c>
      <x:c r="B133" t="str">
        <x:v>Exchange Rate</x:v>
      </x:c>
      <x:c r="C133" t="n">
        <x:v>720</x:v>
      </x:c>
      <x:c r="D133" t="str">
        <x:v>Baseline</x:v>
      </x:c>
      <x:c r="E133" t="str">
        <x:v>COSA-F</x:v>
      </x:c>
      <x:c r="F133" s="4" t="n">
        <x:v>0.8359333333333333</x:v>
      </x:c>
      <x:c r="G133" s="4" t="n">
        <x:v>0.32598111033439636</x:v>
      </x:c>
      <x:c r="H133" s="4" t="n">
        <x:f>IF(OR(F133="",G133=""),"",F133-G133)</x:f>
        <x:v>0.5099522229989369</x:v>
      </x:c>
      <x:c r="I133" s="5" t="n">
        <x:f>IFERROR(H133/F133,"")</x:f>
        <x:v>0.6100393448428147</x:v>
      </x:c>
      <x:c r="J133" t="str">
        <x:f>IF(H133&gt;0,"Yes",IF(H133&lt;0,"No","Tie"))</x:f>
        <x:v>Yes</x:v>
      </x:c>
    </x:row>
    <x:row r="134">
      <x:c r="A134" t="str">
        <x:v>OLS</x:v>
      </x:c>
      <x:c r="B134" t="str">
        <x:v>weather</x:v>
      </x:c>
      <x:c r="C134" t="n">
        <x:v>96</x:v>
      </x:c>
      <x:c r="D134" t="str">
        <x:v>Baseline</x:v>
      </x:c>
      <x:c r="E134" t="str">
        <x:v>COSA-F</x:v>
      </x:c>
      <x:c r="F134" s="4" t="n">
        <x:v>0.19506666666666667</x:v>
      </x:c>
      <x:c r="G134" s="4" t="n">
        <x:v>0.1883797546227773</x:v>
      </x:c>
      <x:c r="H134" s="4" t="n">
        <x:f>IF(OR(F134="",G134=""),"",F134-G134)</x:f>
        <x:v>0.006686912043889354</x:v>
      </x:c>
      <x:c r="I134" s="5" t="n">
        <x:f>IFERROR(H134/F134,"")</x:f>
        <x:v>0.03428013693039655</x:v>
      </x:c>
      <x:c r="J134" t="str">
        <x:f>IF(H134&gt;0,"Yes",IF(H134&lt;0,"No","Tie"))</x:f>
        <x:v>Yes</x:v>
      </x:c>
    </x:row>
    <x:row r="135">
      <x:c r="A135" t="str">
        <x:v>OLS</x:v>
      </x:c>
      <x:c r="B135" t="str">
        <x:v>weather</x:v>
      </x:c>
      <x:c r="C135" t="n">
        <x:v>192</x:v>
      </x:c>
      <x:c r="D135" t="str">
        <x:v>Baseline</x:v>
      </x:c>
      <x:c r="E135" t="str">
        <x:v>COSA-F</x:v>
      </x:c>
      <x:c r="F135" s="4" t="n">
        <x:v>0.2402</x:v>
      </x:c>
      <x:c r="G135" s="4" t="n">
        <x:v>0.24258825679620108</x:v>
      </x:c>
      <x:c r="H135" s="4" t="n">
        <x:f>IF(OR(F135="",G135=""),"",F135-G135)</x:f>
        <x:v>-0.0023882567962010826</x:v>
      </x:c>
      <x:c r="I135" s="5" t="n">
        <x:f>IFERROR(H135/F135,"")</x:f>
        <x:v>-0.009942784330562376</x:v>
      </x:c>
      <x:c r="J135" t="str">
        <x:f>IF(H135&gt;0,"Yes",IF(H135&lt;0,"No","Tie"))</x:f>
        <x:v>No</x:v>
      </x:c>
    </x:row>
    <x:row r="136">
      <x:c r="A136" t="str">
        <x:v>OLS</x:v>
      </x:c>
      <x:c r="B136" t="str">
        <x:v>weather</x:v>
      </x:c>
      <x:c r="C136" t="n">
        <x:v>336</x:v>
      </x:c>
      <x:c r="D136" t="str">
        <x:v>Baseline</x:v>
      </x:c>
      <x:c r="E136" t="str">
        <x:v>COSA-F</x:v>
      </x:c>
      <x:c r="F136" s="4" t="n">
        <x:v>0.2919333333333333</x:v>
      </x:c>
      <x:c r="G136" s="4" t="n">
        <x:v>0.3103248178958893</x:v>
      </x:c>
      <x:c r="H136" s="4" t="n">
        <x:f>IF(OR(F136="",G136=""),"",F136-G136)</x:f>
        <x:v>-0.01839148456255596</x:v>
      </x:c>
      <x:c r="I136" s="5" t="n">
        <x:f>IFERROR(H136/F136,"")</x:f>
        <x:v>-0.06299891948808847</x:v>
      </x:c>
      <x:c r="J136" t="str">
        <x:f>IF(H136&gt;0,"Yes",IF(H136&lt;0,"No","Tie"))</x:f>
        <x:v>No</x:v>
      </x:c>
    </x:row>
    <x:row r="137">
      <x:c r="A137" t="str">
        <x:v>OLS</x:v>
      </x:c>
      <x:c r="B137" t="str">
        <x:v>weather</x:v>
      </x:c>
      <x:c r="C137" t="n">
        <x:v>720</x:v>
      </x:c>
      <x:c r="D137" t="str">
        <x:v>Baseline</x:v>
      </x:c>
      <x:c r="E137" t="str">
        <x:v>COSA-F</x:v>
      </x:c>
      <x:c r="F137" s="4" t="n">
        <x:v>0.36423333333333335</x:v>
      </x:c>
      <x:c r="G137" s="4" t="n">
        <x:v>0.33591469128926593</x:v>
      </x:c>
      <x:c r="H137" s="4" t="n">
        <x:f>IF(OR(F137="",G137=""),"",F137-G137)</x:f>
        <x:v>0.02831864204406742</x:v>
      </x:c>
      <x:c r="I137" s="5" t="n">
        <x:f>IFERROR(H137/F137,"")</x:f>
        <x:v>0.07774862828974308</x:v>
      </x:c>
      <x:c r="J137" t="str">
        <x:f>IF(H137&gt;0,"Yes",IF(H137&lt;0,"No","Tie"))</x:f>
        <x:v>Yes</x:v>
      </x:c>
    </x:row>
    <x:row r="138">
      <x:c r="A138" t="str">
        <x:v>OLS</x:v>
      </x:c>
      <x:c r="B138" t="str">
        <x:v>electricity</x:v>
      </x:c>
      <x:c r="C138" t="n">
        <x:v>96</x:v>
      </x:c>
      <x:c r="D138" t="str">
        <x:v>Baseline</x:v>
      </x:c>
      <x:c r="E138" t="str">
        <x:v>COSA-F</x:v>
      </x:c>
      <x:c r="F138" s="4" t="n">
        <x:v>0.1974</x:v>
      </x:c>
      <x:c r="G138" s="4" t="n">
        <x:v>0.19613127410411835</x:v>
      </x:c>
      <x:c r="H138" s="4" t="n">
        <x:f>IF(OR(F138="",G138=""),"",F138-G138)</x:f>
        <x:v>0.001268725895881645</x:v>
      </x:c>
      <x:c r="I138" s="5" t="n">
        <x:f>IFERROR(H138/F138,"")</x:f>
        <x:v>0.006427182856543288</x:v>
      </x:c>
      <x:c r="J138" t="str">
        <x:f>IF(H138&gt;0,"Yes",IF(H138&lt;0,"No","Tie"))</x:f>
        <x:v>Yes</x:v>
      </x:c>
    </x:row>
    <x:row r="139">
      <x:c r="A139" t="str">
        <x:v>OLS</x:v>
      </x:c>
      <x:c r="B139" t="str">
        <x:v>electricity</x:v>
      </x:c>
      <x:c r="C139" t="n">
        <x:v>192</x:v>
      </x:c>
      <x:c r="D139" t="str">
        <x:v>Baseline</x:v>
      </x:c>
      <x:c r="E139" t="str">
        <x:v>COSA-F</x:v>
      </x:c>
      <x:c r="F139" s="4" t="n">
        <x:v>0.19723333333333332</x:v>
      </x:c>
      <x:c r="G139" s="4" t="n">
        <x:v>0.19497466584046683</x:v>
      </x:c>
      <x:c r="H139" s="4" t="n">
        <x:f>IF(OR(F139="",G139=""),"",F139-G139)</x:f>
        <x:v>0.0022586674928664896</x:v>
      </x:c>
      <x:c r="I139" s="5" t="n">
        <x:f>IFERROR(H139/F139,"")</x:f>
        <x:v>0.01145175338617453</x:v>
      </x:c>
      <x:c r="J139" t="str">
        <x:f>IF(H139&gt;0,"Yes",IF(H139&lt;0,"No","Tie"))</x:f>
        <x:v>Yes</x:v>
      </x:c>
    </x:row>
    <x:row r="140">
      <x:c r="A140" t="str">
        <x:v>OLS</x:v>
      </x:c>
      <x:c r="B140" t="str">
        <x:v>electricity</x:v>
      </x:c>
      <x:c r="C140" t="n">
        <x:v>336</x:v>
      </x:c>
      <x:c r="D140" t="str">
        <x:v>Baseline</x:v>
      </x:c>
      <x:c r="E140" t="str">
        <x:v>COSA-F</x:v>
      </x:c>
      <x:c r="F140" s="4" t="n">
        <x:v>0.21183333333333332</x:v>
      </x:c>
      <x:c r="G140" s="4" t="n">
        <x:v>0.20398233830928802</x:v>
      </x:c>
      <x:c r="H140" s="4" t="n">
        <x:f>IF(OR(F140="",G140=""),"",F140-G140)</x:f>
        <x:v>0.007850995024045293</x:v>
      </x:c>
      <x:c r="I140" s="5" t="n">
        <x:f>IFERROR(H140/F140,"")</x:f>
        <x:v>0.037062132292896746</x:v>
      </x:c>
      <x:c r="J140" t="str">
        <x:f>IF(H140&gt;0,"Yes",IF(H140&lt;0,"No","Tie"))</x:f>
        <x:v>Yes</x:v>
      </x:c>
    </x:row>
    <x:row r="141">
      <x:c r="A141" t="str">
        <x:v>MICN</x:v>
      </x:c>
      <x:c r="B141" t="str">
        <x:v>ETTh1</x:v>
      </x:c>
      <x:c r="C141" t="n">
        <x:v>96</x:v>
      </x:c>
      <x:c r="D141" t="str">
        <x:v>Baseline</x:v>
      </x:c>
      <x:c r="E141" t="str">
        <x:v>COSA-F</x:v>
      </x:c>
      <x:c r="F141" s="4" t="n">
        <x:v>0.5860333333333333</x:v>
      </x:c>
      <x:c r="G141" s="4" t="n">
        <x:v>0.533108115196228</x:v>
      </x:c>
      <x:c r="H141" s="4" t="n">
        <x:f>IF(OR(F141="",G141=""),"",F141-G141)</x:f>
        <x:v>0.05292521813710527</x:v>
      </x:c>
      <x:c r="I141" s="5" t="n">
        <x:f>IFERROR(H141/F141,"")</x:f>
        <x:v>0.09031093476555134</x:v>
      </x:c>
      <x:c r="J141" t="str">
        <x:f>IF(H141&gt;0,"Yes",IF(H141&lt;0,"No","Tie"))</x:f>
        <x:v>Yes</x:v>
      </x:c>
    </x:row>
    <x:row r="142">
      <x:c r="A142" t="str">
        <x:v>MICN</x:v>
      </x:c>
      <x:c r="B142" t="str">
        <x:v>ETTh1</x:v>
      </x:c>
      <x:c r="C142" t="n">
        <x:v>192</x:v>
      </x:c>
      <x:c r="D142" t="str">
        <x:v>Baseline</x:v>
      </x:c>
      <x:c r="E142" t="str">
        <x:v>COSA-F</x:v>
      </x:c>
      <x:c r="F142" s="4" t="n">
        <x:v>0.6541333333333333</x:v>
      </x:c>
      <x:c r="G142" s="4" t="n">
        <x:v>0.6018863121668497</x:v>
      </x:c>
      <x:c r="H142" s="4" t="n">
        <x:f>IF(OR(F142="",G142=""),"",F142-G142)</x:f>
        <x:v>0.05224702116648361</x:v>
      </x:c>
      <x:c r="I142" s="5" t="n">
        <x:f>IFERROR(H142/F142,"")</x:f>
        <x:v>0.07987212775145272</x:v>
      </x:c>
      <x:c r="J142" t="str">
        <x:f>IF(H142&gt;0,"Yes",IF(H142&lt;0,"No","Tie"))</x:f>
        <x:v>Yes</x:v>
      </x:c>
    </x:row>
    <x:row r="143">
      <x:c r="A143" t="str">
        <x:v>MICN</x:v>
      </x:c>
      <x:c r="B143" t="str">
        <x:v>ETTh1</x:v>
      </x:c>
      <x:c r="C143" t="n">
        <x:v>336</x:v>
      </x:c>
      <x:c r="D143" t="str">
        <x:v>Baseline</x:v>
      </x:c>
      <x:c r="E143" t="str">
        <x:v>COSA-F</x:v>
      </x:c>
      <x:c r="F143" s="4" t="n">
        <x:v>0.6753666666666667</x:v>
      </x:c>
      <x:c r="G143" s="4" t="n">
        <x:v>0.6675559878349304</x:v>
      </x:c>
      <x:c r="H143" s="4" t="n">
        <x:f>IF(OR(F143="",G143=""),"",F143-G143)</x:f>
        <x:v>0.007810678831736251</x:v>
      </x:c>
      <x:c r="I143" s="5" t="n">
        <x:f>IFERROR(H143/F143,"")</x:f>
        <x:v>0.011565093773855561</x:v>
      </x:c>
      <x:c r="J143" t="str">
        <x:f>IF(H143&gt;0,"Yes",IF(H143&lt;0,"No","Tie"))</x:f>
        <x:v>Yes</x:v>
      </x:c>
    </x:row>
    <x:row r="144">
      <x:c r="A144" t="str">
        <x:v>MICN</x:v>
      </x:c>
      <x:c r="B144" t="str">
        <x:v>ETTh1</x:v>
      </x:c>
      <x:c r="C144" t="n">
        <x:v>720</x:v>
      </x:c>
      <x:c r="D144" t="str">
        <x:v>Baseline</x:v>
      </x:c>
      <x:c r="E144" t="str">
        <x:v>COSA-F</x:v>
      </x:c>
      <x:c r="F144" s="4" t="n">
        <x:v>0.8918666666666667</x:v>
      </x:c>
      <x:c r="G144" s="4" t="n">
        <x:v>0.691416323184967</x:v>
      </x:c>
      <x:c r="H144" s="4" t="n">
        <x:f>IF(OR(F144="",G144=""),"",F144-G144)</x:f>
        <x:v>0.20045034348169966</x:v>
      </x:c>
      <x:c r="I144" s="5" t="n">
        <x:f>IFERROR(H144/F144,"")</x:f>
        <x:v>0.22475371148344256</x:v>
      </x:c>
      <x:c r="J144" t="str">
        <x:f>IF(H144&gt;0,"Yes",IF(H144&lt;0,"No","Tie"))</x:f>
        <x:v>Yes</x:v>
      </x:c>
    </x:row>
    <x:row r="145">
      <x:c r="A145" t="str">
        <x:v>MICN</x:v>
      </x:c>
      <x:c r="B145" t="str">
        <x:v>ETTh2</x:v>
      </x:c>
      <x:c r="C145" t="n">
        <x:v>96</x:v>
      </x:c>
      <x:c r="D145" t="str">
        <x:v>Baseline</x:v>
      </x:c>
      <x:c r="E145" t="str">
        <x:v>COSA-F</x:v>
      </x:c>
      <x:c r="F145" s="4" t="n">
        <x:v>0.19316666666666668</x:v>
      </x:c>
      <x:c r="G145" s="4" t="n">
        <x:v>0.19184347490469614</x:v>
      </x:c>
      <x:c r="H145" s="4" t="n">
        <x:f>IF(OR(F145="",G145=""),"",F145-G145)</x:f>
        <x:v>0.0013231917619705436</x:v>
      </x:c>
      <x:c r="I145" s="5" t="n">
        <x:f>IFERROR(H145/F145,"")</x:f>
        <x:v>0.006850000493376411</x:v>
      </x:c>
      <x:c r="J145" t="str">
        <x:f>IF(H145&gt;0,"Yes",IF(H145&lt;0,"No","Tie"))</x:f>
        <x:v>Yes</x:v>
      </x:c>
    </x:row>
    <x:row r="146">
      <x:c r="A146" t="str">
        <x:v>MICN</x:v>
      </x:c>
      <x:c r="B146" t="str">
        <x:v>ETTh2</x:v>
      </x:c>
      <x:c r="C146" t="n">
        <x:v>192</x:v>
      </x:c>
      <x:c r="D146" t="str">
        <x:v>Baseline</x:v>
      </x:c>
      <x:c r="E146" t="str">
        <x:v>COSA-F</x:v>
      </x:c>
      <x:c r="F146" s="4" t="n">
        <x:v>0.2413</x:v>
      </x:c>
      <x:c r="G146" s="4" t="n">
        <x:v>0.24708900849024454</x:v>
      </x:c>
      <x:c r="H146" s="4" t="n">
        <x:f>IF(OR(F146="",G146=""),"",F146-G146)</x:f>
        <x:v>-0.0057890084902445516</x:v>
      </x:c>
      <x:c r="I146" s="5" t="n">
        <x:f>IFERROR(H146/F146,"")</x:f>
        <x:v>-0.023990917904038758</x:v>
      </x:c>
      <x:c r="J146" t="str">
        <x:f>IF(H146&gt;0,"Yes",IF(H146&lt;0,"No","Tie"))</x:f>
        <x:v>No</x:v>
      </x:c>
    </x:row>
    <x:row r="147">
      <x:c r="A147" t="str">
        <x:v>MICN</x:v>
      </x:c>
      <x:c r="B147" t="str">
        <x:v>ETTh2</x:v>
      </x:c>
      <x:c r="C147" t="n">
        <x:v>336</x:v>
      </x:c>
      <x:c r="D147" t="str">
        <x:v>Baseline</x:v>
      </x:c>
      <x:c r="E147" t="str">
        <x:v>COSA-F</x:v>
      </x:c>
      <x:c r="F147" s="4" t="n">
        <x:v>0.28153333333333336</x:v>
      </x:c>
      <x:c r="G147" s="4" t="n">
        <x:v>0.27039098739624023</x:v>
      </x:c>
      <x:c r="H147" s="4" t="n">
        <x:f>IF(OR(F147="",G147=""),"",F147-G147)</x:f>
        <x:v>0.011142345937093123</x:v>
      </x:c>
      <x:c r="I147" s="5" t="n">
        <x:f>IFERROR(H147/F147,"")</x:f>
        <x:v>0.03957735947345414</x:v>
      </x:c>
      <x:c r="J147" t="str">
        <x:f>IF(H147&gt;0,"Yes",IF(H147&lt;0,"No","Tie"))</x:f>
        <x:v>Yes</x:v>
      </x:c>
    </x:row>
    <x:row r="148">
      <x:c r="A148" t="str">
        <x:v>MICN</x:v>
      </x:c>
      <x:c r="B148" t="str">
        <x:v>ETTh2</x:v>
      </x:c>
      <x:c r="C148" t="n">
        <x:v>720</x:v>
      </x:c>
      <x:c r="D148" t="str">
        <x:v>Baseline</x:v>
      </x:c>
      <x:c r="E148" t="str">
        <x:v>COSA-F</x:v>
      </x:c>
      <x:c r="F148" s="4" t="n">
        <x:v>0.3688</x:v>
      </x:c>
      <x:c r="G148" s="4" t="n">
        <x:v>0.3187773923079173</x:v>
      </x:c>
      <x:c r="H148" s="4" t="n">
        <x:f>IF(OR(F148="",G148=""),"",F148-G148)</x:f>
        <x:v>0.05002260769208272</x:v>
      </x:c>
      <x:c r="I148" s="5" t="n">
        <x:f>IFERROR(H148/F148,"")</x:f>
        <x:v>0.1356361379937167</x:v>
      </x:c>
      <x:c r="J148" t="str">
        <x:f>IF(H148&gt;0,"Yes",IF(H148&lt;0,"No","Tie"))</x:f>
        <x:v>Yes</x:v>
      </x:c>
    </x:row>
    <x:row r="149">
      <x:c r="A149" t="str">
        <x:v>MICN</x:v>
      </x:c>
      <x:c r="B149" t="str">
        <x:v>ETTm1</x:v>
      </x:c>
      <x:c r="C149" t="n">
        <x:v>96</x:v>
      </x:c>
      <x:c r="D149" t="str">
        <x:v>Baseline</x:v>
      </x:c>
      <x:c r="E149" t="str">
        <x:v>COSA-F</x:v>
      </x:c>
      <x:c r="F149" s="4" t="n">
        <x:v>0.4381</x:v>
      </x:c>
      <x:c r="G149" s="4" t="n">
        <x:v>0.3951546549797058</x:v>
      </x:c>
      <x:c r="H149" s="4" t="n">
        <x:f>IF(OR(F149="",G149=""),"",F149-G149)</x:f>
        <x:v>0.04294534502029418</x:v>
      </x:c>
      <x:c r="I149" s="5" t="n">
        <x:f>IFERROR(H149/F149,"")</x:f>
        <x:v>0.09802635247727501</x:v>
      </x:c>
      <x:c r="J149" t="str">
        <x:f>IF(H149&gt;0,"Yes",IF(H149&lt;0,"No","Tie"))</x:f>
        <x:v>Yes</x:v>
      </x:c>
    </x:row>
    <x:row r="150">
      <x:c r="A150" t="str">
        <x:v>MICN</x:v>
      </x:c>
      <x:c r="B150" t="str">
        <x:v>ETTm1</x:v>
      </x:c>
      <x:c r="C150" t="n">
        <x:v>192</x:v>
      </x:c>
      <x:c r="D150" t="str">
        <x:v>Baseline</x:v>
      </x:c>
      <x:c r="E150" t="str">
        <x:v>COSA-F</x:v>
      </x:c>
      <x:c r="F150" s="4" t="n">
        <x:v>0.49393333333333334</x:v>
      </x:c>
      <x:c r="G150" s="4" t="n">
        <x:v>0.47061283389727276</x:v>
      </x:c>
      <x:c r="H150" s="4" t="n">
        <x:f>IF(OR(F150="",G150=""),"",F150-G150)</x:f>
        <x:v>0.02332049943606057</x:v>
      </x:c>
      <x:c r="I150" s="5" t="n">
        <x:f>IFERROR(H150/F150,"")</x:f>
        <x:v>0.04721386037804138</x:v>
      </x:c>
      <x:c r="J150" t="str">
        <x:f>IF(H150&gt;0,"Yes",IF(H150&lt;0,"No","Tie"))</x:f>
        <x:v>Yes</x:v>
      </x:c>
    </x:row>
    <x:row r="151">
      <x:c r="A151" t="str">
        <x:v>MICN</x:v>
      </x:c>
      <x:c r="B151" t="str">
        <x:v>ETTm1</x:v>
      </x:c>
      <x:c r="C151" t="n">
        <x:v>336</x:v>
      </x:c>
      <x:c r="D151" t="str">
        <x:v>Baseline</x:v>
      </x:c>
      <x:c r="E151" t="str">
        <x:v>COSA-F</x:v>
      </x:c>
      <x:c r="F151" s="4" t="n">
        <x:v>0.5544333333333333</x:v>
      </x:c>
      <x:c r="G151" s="4" t="n">
        <x:v>0.5430137316385905</x:v>
      </x:c>
      <x:c r="H151" s="4" t="n">
        <x:f>IF(OR(F151="",G151=""),"",F151-G151)</x:f>
        <x:v>0.011419601694742876</x:v>
      </x:c>
      <x:c r="I151" s="5" t="n">
        <x:f>IFERROR(H151/F151,"")</x:f>
        <x:v>0.02059688876584418</x:v>
      </x:c>
      <x:c r="J151" t="str">
        <x:f>IF(H151&gt;0,"Yes",IF(H151&lt;0,"No","Tie"))</x:f>
        <x:v>Yes</x:v>
      </x:c>
    </x:row>
    <x:row r="152">
      <x:c r="A152" t="str">
        <x:v>MICN</x:v>
      </x:c>
      <x:c r="B152" t="str">
        <x:v>ETTm1</x:v>
      </x:c>
      <x:c r="C152" t="n">
        <x:v>720</x:v>
      </x:c>
      <x:c r="D152" t="str">
        <x:v>Baseline</x:v>
      </x:c>
      <x:c r="E152" t="str">
        <x:v>COSA-F</x:v>
      </x:c>
      <x:c r="F152" s="4" t="n">
        <x:v>0.6315666666666666</x:v>
      </x:c>
      <x:c r="G152" s="4" t="n">
        <x:v>0.5779280861218771</x:v>
      </x:c>
      <x:c r="H152" s="4" t="n">
        <x:f>IF(OR(F152="",G152=""),"",F152-G152)</x:f>
        <x:v>0.05363858054478954</x:v>
      </x:c>
      <x:c r="I152" s="5" t="n">
        <x:f>IFERROR(H152/F152,"")</x:f>
        <x:v>0.08492940393432662</x:v>
      </x:c>
      <x:c r="J152" t="str">
        <x:f>IF(H152&gt;0,"Yes",IF(H152&lt;0,"No","Tie"))</x:f>
        <x:v>Yes</x:v>
      </x:c>
    </x:row>
    <x:row r="153">
      <x:c r="A153" t="str">
        <x:v>MICN</x:v>
      </x:c>
      <x:c r="B153" t="str">
        <x:v>ETTm2</x:v>
      </x:c>
      <x:c r="C153" t="n">
        <x:v>96</x:v>
      </x:c>
      <x:c r="D153" t="str">
        <x:v>Baseline</x:v>
      </x:c>
      <x:c r="E153" t="str">
        <x:v>COSA-F</x:v>
      </x:c>
      <x:c r="F153" s="4" t="n">
        <x:v>0.12556666666666666</x:v>
      </x:c>
      <x:c r="G153" s="4" t="n">
        <x:v>0.1303348789612452</x:v>
      </x:c>
      <x:c r="H153" s="4" t="n">
        <x:f>IF(OR(F153="",G153=""),"",F153-G153)</x:f>
        <x:v>-0.00476821229457855</x:v>
      </x:c>
      <x:c r="I153" s="5" t="n">
        <x:f>IFERROR(H153/F153,"")</x:f>
        <x:v>-0.03797355158942302</x:v>
      </x:c>
      <x:c r="J153" t="str">
        <x:f>IF(H153&gt;0,"Yes",IF(H153&lt;0,"No","Tie"))</x:f>
        <x:v>No</x:v>
      </x:c>
    </x:row>
    <x:row r="154">
      <x:c r="A154" t="str">
        <x:v>MICN</x:v>
      </x:c>
      <x:c r="B154" t="str">
        <x:v>ETTm2</x:v>
      </x:c>
      <x:c r="C154" t="n">
        <x:v>192</x:v>
      </x:c>
      <x:c r="D154" t="str">
        <x:v>Baseline</x:v>
      </x:c>
      <x:c r="E154" t="str">
        <x:v>COSA-F</x:v>
      </x:c>
      <x:c r="F154" s="4" t="n">
        <x:v>0.16096666666666667</x:v>
      </x:c>
      <x:c r="G154" s="4" t="n">
        <x:v>0.174891064564387</x:v>
      </x:c>
      <x:c r="H154" s="4" t="n">
        <x:f>IF(OR(F154="",G154=""),"",F154-G154)</x:f>
        <x:v>-0.01392439789772032</x:v>
      </x:c>
      <x:c r="I154" s="5" t="n">
        <x:f>IFERROR(H154/F154,"")</x:f>
        <x:v>-0.08650485337163172</x:v>
      </x:c>
      <x:c r="J154" t="str">
        <x:f>IF(H154&gt;0,"Yes",IF(H154&lt;0,"No","Tie"))</x:f>
        <x:v>No</x:v>
      </x:c>
    </x:row>
    <x:row r="155">
      <x:c r="A155" t="str">
        <x:v>MICN</x:v>
      </x:c>
      <x:c r="B155" t="str">
        <x:v>ETTm2</x:v>
      </x:c>
      <x:c r="C155" t="n">
        <x:v>336</x:v>
      </x:c>
      <x:c r="D155" t="str">
        <x:v>Baseline</x:v>
      </x:c>
      <x:c r="E155" t="str">
        <x:v>COSA-F</x:v>
      </x:c>
      <x:c r="F155" s="4" t="n">
        <x:v>0.20206666666666667</x:v>
      </x:c>
      <x:c r="G155" s="4" t="n">
        <x:v>0.2154349982738495</x:v>
      </x:c>
      <x:c r="H155" s="4" t="n">
        <x:f>IF(OR(F155="",G155=""),"",F155-G155)</x:f>
        <x:v>-0.013368331607182815</x:v>
      </x:c>
      <x:c r="I155" s="5" t="n">
        <x:f>IFERROR(H155/F155,"")</x:f>
        <x:v>-0.06615802510977968</x:v>
      </x:c>
      <x:c r="J155" t="str">
        <x:f>IF(H155&gt;0,"Yes",IF(H155&lt;0,"No","Tie"))</x:f>
        <x:v>No</x:v>
      </x:c>
    </x:row>
    <x:row r="156">
      <x:c r="A156" t="str">
        <x:v>MICN</x:v>
      </x:c>
      <x:c r="B156" t="str">
        <x:v>ETTm2</x:v>
      </x:c>
      <x:c r="C156" t="n">
        <x:v>720</x:v>
      </x:c>
      <x:c r="D156" t="str">
        <x:v>Baseline</x:v>
      </x:c>
      <x:c r="E156" t="str">
        <x:v>COSA-F</x:v>
      </x:c>
      <x:c r="F156" s="4" t="n">
        <x:v>0.26056666666666667</x:v>
      </x:c>
      <x:c r="G156" s="4" t="n">
        <x:v>0.24465498824914297</x:v>
      </x:c>
      <x:c r="H156" s="4" t="n">
        <x:f>IF(OR(F156="",G156=""),"",F156-G156)</x:f>
        <x:v>0.015911678417523695</x:v>
      </x:c>
      <x:c r="I156" s="5" t="n">
        <x:f>IFERROR(H156/F156,"")</x:f>
        <x:v>0.06106567129662413</x:v>
      </x:c>
      <x:c r="J156" t="str">
        <x:f>IF(H156&gt;0,"Yes",IF(H156&lt;0,"No","Tie"))</x:f>
        <x:v>Yes</x:v>
      </x:c>
    </x:row>
    <x:row r="157">
      <x:c r="A157" t="str">
        <x:v>MICN</x:v>
      </x:c>
      <x:c r="B157" t="str">
        <x:v>Exchange Rate</x:v>
      </x:c>
      <x:c r="C157" t="n">
        <x:v>96</x:v>
      </x:c>
      <x:c r="D157" t="str">
        <x:v>Baseline</x:v>
      </x:c>
      <x:c r="E157" t="str">
        <x:v>COSA-F</x:v>
      </x:c>
      <x:c r="F157" s="4" t="n">
        <x:v>0.1022</x:v>
      </x:c>
      <x:c r="G157" s="4" t="n">
        <x:v>0.0992131878932317</x:v>
      </x:c>
      <x:c r="H157" s="4" t="n">
        <x:f>IF(OR(F157="",G157=""),"",F157-G157)</x:f>
        <x:v>0.002986812106768294</x:v>
      </x:c>
      <x:c r="I157" s="5" t="n">
        <x:f>IFERROR(H157/F157,"")</x:f>
        <x:v>0.029225167385208358</x:v>
      </x:c>
      <x:c r="J157" t="str">
        <x:f>IF(H157&gt;0,"Yes",IF(H157&lt;0,"No","Tie"))</x:f>
        <x:v>Yes</x:v>
      </x:c>
    </x:row>
    <x:row r="158">
      <x:c r="A158" t="str">
        <x:v>MICN</x:v>
      </x:c>
      <x:c r="B158" t="str">
        <x:v>Exchange Rate</x:v>
      </x:c>
      <x:c r="C158" t="n">
        <x:v>192</x:v>
      </x:c>
      <x:c r="D158" t="str">
        <x:v>Baseline</x:v>
      </x:c>
      <x:c r="E158" t="str">
        <x:v>COSA-F</x:v>
      </x:c>
      <x:c r="F158" s="4" t="n">
        <x:v>0.21276666666666666</x:v>
      </x:c>
      <x:c r="G158" s="4" t="n">
        <x:v>0.18105116983254751</x:v>
      </x:c>
      <x:c r="H158" s="4" t="n">
        <x:f>IF(OR(F158="",G158=""),"",F158-G158)</x:f>
        <x:v>0.031715496834119145</x:v>
      </x:c>
      <x:c r="I158" s="5" t="n">
        <x:f>IFERROR(H158/F158,"")</x:f>
        <x:v>0.14906233824589918</x:v>
      </x:c>
      <x:c r="J158" t="str">
        <x:f>IF(H158&gt;0,"Yes",IF(H158&lt;0,"No","Tie"))</x:f>
        <x:v>Yes</x:v>
      </x:c>
    </x:row>
    <x:row r="159">
      <x:c r="A159" t="str">
        <x:v>MICN</x:v>
      </x:c>
      <x:c r="B159" t="str">
        <x:v>Exchange Rate</x:v>
      </x:c>
      <x:c r="C159" t="n">
        <x:v>336</x:v>
      </x:c>
      <x:c r="D159" t="str">
        <x:v>Baseline</x:v>
      </x:c>
      <x:c r="E159" t="str">
        <x:v>COSA-F</x:v>
      </x:c>
      <x:c r="F159" s="4" t="n">
        <x:v>0.36293333333333333</x:v>
      </x:c>
      <x:c r="G159" s="4" t="n">
        <x:v>0.24907074371973673</x:v>
      </x:c>
      <x:c r="H159" s="4" t="n">
        <x:f>IF(OR(F159="",G159=""),"",F159-G159)</x:f>
        <x:v>0.1138625896135966</x:v>
      </x:c>
      <x:c r="I159" s="5" t="n">
        <x:f>IFERROR(H159/F159,"")</x:f>
        <x:v>0.3137286635201964</x:v>
      </x:c>
      <x:c r="J159" t="str">
        <x:f>IF(H159&gt;0,"Yes",IF(H159&lt;0,"No","Tie"))</x:f>
        <x:v>Yes</x:v>
      </x:c>
    </x:row>
    <x:row r="160">
      <x:c r="A160" t="str">
        <x:v>MICN</x:v>
      </x:c>
      <x:c r="B160" t="str">
        <x:v>Exchange Rate</x:v>
      </x:c>
      <x:c r="C160" t="n">
        <x:v>720</x:v>
      </x:c>
      <x:c r="D160" t="str">
        <x:v>Baseline</x:v>
      </x:c>
      <x:c r="E160" t="str">
        <x:v>COSA-F</x:v>
      </x:c>
      <x:c r="F160" s="4" t="n">
        <x:v>1.3852666666666666</x:v>
      </x:c>
      <x:c r="G160" s="4" t="n">
        <x:v>0.5924359957377116</x:v>
      </x:c>
      <x:c r="H160" s="4" t="n">
        <x:f>IF(OR(F160="",G160=""),"",F160-G160)</x:f>
        <x:v>0.7928306709289551</x:v>
      </x:c>
      <x:c r="I160" s="5" t="n">
        <x:f>IFERROR(H160/F160,"")</x:f>
        <x:v>0.5723307215907564</x:v>
      </x:c>
      <x:c r="J160" t="str">
        <x:f>IF(H160&gt;0,"Yes",IF(H160&lt;0,"No","Tie"))</x:f>
        <x:v>Yes</x:v>
      </x:c>
    </x:row>
    <x:row r="161">
      <x:c r="A161" t="str">
        <x:v>MICN</x:v>
      </x:c>
      <x:c r="B161" t="str">
        <x:v>weather</x:v>
      </x:c>
      <x:c r="C161" t="n">
        <x:v>96</x:v>
      </x:c>
      <x:c r="D161" t="str">
        <x:v>Baseline</x:v>
      </x:c>
      <x:c r="E161" t="str">
        <x:v>COSA-F</x:v>
      </x:c>
      <x:c r="F161" s="4" t="n">
        <x:v>0.17300000000000001</x:v>
      </x:c>
      <x:c r="G161" s="4" t="n">
        <x:v>0.1703042984008789</x:v>
      </x:c>
      <x:c r="H161" s="4" t="n">
        <x:f>IF(OR(F161="",G161=""),"",F161-G161)</x:f>
        <x:v>0.0026957015991211086</x:v>
      </x:c>
      <x:c r="I161" s="5" t="n">
        <x:f>IFERROR(H161/F161,"")</x:f>
        <x:v>0.015582090168330107</x:v>
      </x:c>
      <x:c r="J161" t="str">
        <x:f>IF(H161&gt;0,"Yes",IF(H161&lt;0,"No","Tie"))</x:f>
        <x:v>Yes</x:v>
      </x:c>
    </x:row>
    <x:row r="162">
      <x:c r="A162" t="str">
        <x:v>MICN</x:v>
      </x:c>
      <x:c r="B162" t="str">
        <x:v>weather</x:v>
      </x:c>
      <x:c r="C162" t="n">
        <x:v>192</x:v>
      </x:c>
      <x:c r="D162" t="str">
        <x:v>Baseline</x:v>
      </x:c>
      <x:c r="E162" t="str">
        <x:v>COSA-F</x:v>
      </x:c>
      <x:c r="F162" s="4" t="n">
        <x:v>0.2265</x:v>
      </x:c>
      <x:c r="G162" s="4" t="n">
        <x:v>0.24612325926621756</x:v>
      </x:c>
      <x:c r="H162" s="4" t="n">
        <x:f>IF(OR(F162="",G162=""),"",F162-G162)</x:f>
        <x:v>-0.019623259266217552</x:v>
      </x:c>
      <x:c r="I162" s="5" t="n">
        <x:f>IFERROR(H162/F162,"")</x:f>
        <x:v>-0.08663690625261612</x:v>
      </x:c>
      <x:c r="J162" t="str">
        <x:f>IF(H162&gt;0,"Yes",IF(H162&lt;0,"No","Tie"))</x:f>
        <x:v>No</x:v>
      </x:c>
    </x:row>
    <x:row r="163">
      <x:c r="A163" t="str">
        <x:v>MICN</x:v>
      </x:c>
      <x:c r="B163" t="str">
        <x:v>weather</x:v>
      </x:c>
      <x:c r="C163" t="n">
        <x:v>336</x:v>
      </x:c>
      <x:c r="D163" t="str">
        <x:v>Baseline</x:v>
      </x:c>
      <x:c r="E163" t="str">
        <x:v>COSA-F</x:v>
      </x:c>
      <x:c r="F163" s="4" t="n">
        <x:v>0.2820666666666667</x:v>
      </x:c>
      <x:c r="G163" s="4" t="n">
        <x:v>0.3264876405398051</x:v>
      </x:c>
      <x:c r="H163" s="4" t="n">
        <x:f>IF(OR(F163="",G163=""),"",F163-G163)</x:f>
        <x:v>-0.044420973873138425</x:v>
      </x:c>
      <x:c r="I163" s="5" t="n">
        <x:f>IFERROR(H163/F163,"")</x:f>
        <x:v>-0.15748395369819815</x:v>
      </x:c>
      <x:c r="J163" t="str">
        <x:f>IF(H163&gt;0,"Yes",IF(H163&lt;0,"No","Tie"))</x:f>
        <x:v>No</x:v>
      </x:c>
    </x:row>
    <x:row r="164">
      <x:c r="A164" t="str">
        <x:v>MICN</x:v>
      </x:c>
      <x:c r="B164" t="str">
        <x:v>weather</x:v>
      </x:c>
      <x:c r="C164" t="n">
        <x:v>720</x:v>
      </x:c>
      <x:c r="D164" t="str">
        <x:v>Baseline</x:v>
      </x:c>
      <x:c r="E164" t="str">
        <x:v>COSA-F</x:v>
      </x:c>
      <x:c r="F164" s="4" t="n">
        <x:v>0.35176666666666667</x:v>
      </x:c>
      <x:c r="G164" s="4" t="n">
        <x:v>0.3473902742067973</x:v>
      </x:c>
      <x:c r="H164" s="4" t="n">
        <x:f>IF(OR(F164="",G164=""),"",F164-G164)</x:f>
        <x:v>0.0043763924598693715</x:v>
      </x:c>
      <x:c r="I164" s="5" t="n">
        <x:f>IFERROR(H164/F164,"")</x:f>
        <x:v>0.012441180119025978</x:v>
      </x:c>
      <x:c r="J164" t="str">
        <x:f>IF(H164&gt;0,"Yes",IF(H164&lt;0,"No","Tie"))</x:f>
        <x:v>Yes</x:v>
      </x:c>
    </x:row>
    <x:row r="165">
      <x:c r="A165" t="str">
        <x:v>MICN</x:v>
      </x:c>
      <x:c r="B165" t="str">
        <x:v>electricity</x:v>
      </x:c>
      <x:c r="C165" t="n">
        <x:v>96</x:v>
      </x:c>
      <x:c r="D165" t="str">
        <x:v>Baseline</x:v>
      </x:c>
      <x:c r="E165" t="str">
        <x:v>COSA-F</x:v>
      </x:c>
      <x:c r="F165" s="4" t="n">
        <x:v>0.17646666666666666</x:v>
      </x:c>
      <x:c r="G165" s="4" t="n">
        <x:v>0.17482146124045053</x:v>
      </x:c>
      <x:c r="H165" s="4" t="n">
        <x:f>IF(OR(F165="",G165=""),"",F165-G165)</x:f>
        <x:v>0.0016452054262161286</x:v>
      </x:c>
      <x:c r="I165" s="5" t="n">
        <x:f>IFERROR(H165/F165,"")</x:f>
        <x:v>0.009323037927178666</x:v>
      </x:c>
      <x:c r="J165" t="str">
        <x:f>IF(H165&gt;0,"Yes",IF(H165&lt;0,"No","Tie"))</x:f>
        <x:v>Yes</x:v>
      </x:c>
    </x:row>
    <x:row r="166">
      <x:c r="A166" t="str">
        <x:v>MICN</x:v>
      </x:c>
      <x:c r="B166" t="str">
        <x:v>electricity</x:v>
      </x:c>
      <x:c r="C166" t="n">
        <x:v>192</x:v>
      </x:c>
      <x:c r="D166" t="str">
        <x:v>Baseline</x:v>
      </x:c>
      <x:c r="E166" t="str">
        <x:v>COSA-F</x:v>
      </x:c>
      <x:c r="F166" s="4" t="n">
        <x:v>0.18926666666666667</x:v>
      </x:c>
      <x:c r="G166" s="4" t="n">
        <x:v>0.18364623188972473</x:v>
      </x:c>
      <x:c r="H166" s="4" t="n">
        <x:f>IF(OR(F166="",G166=""),"",F166-G166)</x:f>
        <x:v>0.005620434776941935</x:v>
      </x:c>
      <x:c r="I166" s="5" t="n">
        <x:f>IFERROR(H166/F166,"")</x:f>
        <x:v>0.029695851234282856</x:v>
      </x:c>
      <x:c r="J166" t="str">
        <x:f>IF(H166&gt;0,"Yes",IF(H166&lt;0,"No","Tie"))</x:f>
        <x:v>Yes</x:v>
      </x:c>
    </x:row>
    <x:row r="167">
      <x:c r="A167" t="str">
        <x:v>MICN</x:v>
      </x:c>
      <x:c r="B167" t="str">
        <x:v>electricity</x:v>
      </x:c>
      <x:c r="C167" t="n">
        <x:v>336</x:v>
      </x:c>
      <x:c r="D167" t="str">
        <x:v>Baseline</x:v>
      </x:c>
      <x:c r="E167" t="str">
        <x:v>COSA-F</x:v>
      </x:c>
      <x:c r="F167" s="4" t="n">
        <x:v>0.19413333333333332</x:v>
      </x:c>
      <x:c r="G167" s="4" t="n">
        <x:v>0.18340186774730682</x:v>
      </x:c>
      <x:c r="H167" s="4" t="n">
        <x:f>IF(OR(F167="",G167=""),"",F167-G167)</x:f>
        <x:v>0.0107314655860265</x:v>
      </x:c>
      <x:c r="I167" s="5" t="n">
        <x:f>IFERROR(H167/F167,"")</x:f>
        <x:v>0.05527884058736179</x:v>
      </x:c>
      <x:c r="J167" t="str">
        <x:f>IF(H167&gt;0,"Yes",IF(H167&lt;0,"No","Tie"))</x:f>
        <x:v>Yes</x:v>
      </x:c>
    </x:row>
    <x:row r="168">
      <x:c r="A168" t="str">
        <x:v>MICN</x:v>
      </x:c>
      <x:c r="B168" t="str">
        <x:v>electricity</x:v>
      </x:c>
      <x:c r="C168" t="n">
        <x:v>720</x:v>
      </x:c>
      <x:c r="D168" t="str">
        <x:v>Baseline</x:v>
      </x:c>
      <x:c r="E168" t="str">
        <x:v>COSA-F</x:v>
      </x:c>
      <x:c r="F168" s="4" t="n">
        <x:v>0.21926666666666667</x:v>
      </x:c>
      <x:c r="G168" s="4" t="n">
        <x:v>0.1951456218957901</x:v>
      </x:c>
      <x:c r="H168" s="4" t="n">
        <x:f>IF(OR(F168="",G168=""),"",F168-G168)</x:f>
        <x:v>0.024121044770876565</x:v>
      </x:c>
      <x:c r="I168" s="5" t="n">
        <x:f>IFERROR(H168/F168,"")</x:f>
        <x:v>0.11000780527915734</x:v>
      </x:c>
      <x:c r="J168" t="str">
        <x:f>IF(H168&gt;0,"Yes",IF(H168&lt;0,"No","Tie"))</x:f>
        <x:v>Yes</x:v>
      </x:c>
    </x:row>
    <x:row r="169">
      <x:c r="A169" t="str">
        <x:v>MICN</x:v>
      </x:c>
      <x:c r="B169" t="str">
        <x:v>traffic</x:v>
      </x:c>
      <x:c r="C169" t="n">
        <x:v>96</x:v>
      </x:c>
      <x:c r="D169" t="str">
        <x:v>Baseline</x:v>
      </x:c>
      <x:c r="E169" t="str">
        <x:v>COSA-F</x:v>
      </x:c>
      <x:c r="F169" s="4" t="n">
        <x:v>0.49793333333333334</x:v>
      </x:c>
      <x:c r="G169" s="4" t="n">
        <x:v>0.46380258599917096</x:v>
      </x:c>
      <x:c r="H169" s="4" t="n">
        <x:f>IF(OR(F169="",G169=""),"",F169-G169)</x:f>
        <x:v>0.03413074733416238</x:v>
      </x:c>
      <x:c r="I169" s="5" t="n">
        <x:f>IFERROR(H169/F169,"")</x:f>
        <x:v>0.06854481322967408</x:v>
      </x:c>
      <x:c r="J169" t="str">
        <x:f>IF(H169&gt;0,"Yes",IF(H169&lt;0,"No","Tie"))</x:f>
        <x:v>Yes</x:v>
      </x:c>
    </x:row>
    <x:row r="170">
      <x:c r="A170" t="str">
        <x:v>MICN</x:v>
      </x:c>
      <x:c r="B170" t="str">
        <x:v>traffic</x:v>
      </x:c>
      <x:c r="C170" t="n">
        <x:v>192</x:v>
      </x:c>
      <x:c r="D170" t="str">
        <x:v>Baseline</x:v>
      </x:c>
      <x:c r="E170" t="str">
        <x:v>COSA-F</x:v>
      </x:c>
      <x:c r="F170" s="4" t="n">
        <x:v>0.5097666666666667</x:v>
      </x:c>
      <x:c r="G170" s="4" t="n">
        <x:v>0.47795917590459186</x:v>
      </x:c>
      <x:c r="H170" s="4" t="n">
        <x:f>IF(OR(F170="",G170=""),"",F170-G170)</x:f>
        <x:v>0.03180749076207484</x:v>
      </x:c>
      <x:c r="I170" s="5" t="n">
        <x:f>IFERROR(H170/F170,"")</x:f>
        <x:v>0.062396176215408695</x:v>
      </x:c>
      <x:c r="J170" t="str">
        <x:f>IF(H170&gt;0,"Yes",IF(H170&lt;0,"No","Tie"))</x:f>
        <x:v>Yes</x:v>
      </x:c>
    </x:row>
    <x:row r="171">
      <x:c r="A171" t="str">
        <x:v>MICN</x:v>
      </x:c>
      <x:c r="B171" t="str">
        <x:v>traffic</x:v>
      </x:c>
      <x:c r="C171" t="n">
        <x:v>336</x:v>
      </x:c>
      <x:c r="D171" t="str">
        <x:v>Baseline</x:v>
      </x:c>
      <x:c r="E171" t="str">
        <x:v>COSA-F</x:v>
      </x:c>
      <x:c r="F171" s="4" t="n">
        <x:v>0.5350666666666667</x:v>
      </x:c>
      <x:c r="G171" s="4" t="n">
        <x:v>0.4989924331506093</x:v>
      </x:c>
      <x:c r="H171" s="4" t="n">
        <x:f>IF(OR(F171="",G171=""),"",F171-G171)</x:f>
        <x:v>0.036074233516057375</x:v>
      </x:c>
      <x:c r="I171" s="5" t="n">
        <x:f>IFERROR(H171/F171,"")</x:f>
        <x:v>0.067420072606636</x:v>
      </x:c>
      <x:c r="J171" t="str">
        <x:f>IF(H171&gt;0,"Yes",IF(H171&lt;0,"No","Tie"))</x:f>
        <x:v>Yes</x:v>
      </x:c>
    </x:row>
    <x:row r="172">
      <x:c r="A172" t="str">
        <x:v>MICN</x:v>
      </x:c>
      <x:c r="B172" t="str">
        <x:v>traffic</x:v>
      </x:c>
      <x:c r="C172" t="n">
        <x:v>720</x:v>
      </x:c>
      <x:c r="D172" t="str">
        <x:v>Baseline</x:v>
      </x:c>
      <x:c r="E172" t="str">
        <x:v>COSA-F</x:v>
      </x:c>
      <x:c r="F172" s="4" t="n">
        <x:v>0.5788666666666666</x:v>
      </x:c>
      <x:c r="G172" s="4" t="n">
        <x:v>0.5341654817263285</x:v>
      </x:c>
      <x:c r="H172" s="4" t="n">
        <x:f>IF(OR(F172="",G172=""),"",F172-G172)</x:f>
        <x:v>0.044701184940338146</x:v>
      </x:c>
      <x:c r="I172" s="5" t="n">
        <x:f>IFERROR(H172/F172,"")</x:f>
        <x:v>0.07722190188933228</x:v>
      </x:c>
      <x:c r="J172" t="str">
        <x:f>IF(H172&gt;0,"Yes",IF(H172&lt;0,"No","Tie"))</x:f>
        <x:v>Yes</x:v>
      </x:c>
    </x:row>
  </x:sheetData>
  <x:mergeCells>
    <x:mergeCell ref="L1:O1"/>
  </x:mergeCells>
  <x:conditionalFormatting sqref="H2:I172">
    <x:cfRule type="cellIs" dxfId="22" priority="1" operator="greaterThan">
      <x:formula>0</x:formula>
    </x:cfRule>
    <x:cfRule type="cellIs" dxfId="2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66572de6d74e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3.329999923706055" hidden="0" customWidth="1"/>
    <x:col min="3" max="3" width="8.890000343322754" hidden="0" customWidth="1"/>
    <x:col min="4" max="4" width="10" hidden="0" customWidth="1"/>
    <x:col min="5" max="5" width="10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1.670000076293945" hidden="0" customWidth="1"/>
    <x:col min="10" max="10" width="8.890000343322754" hidden="0" customWidth="1"/>
    <x:col min="12" max="12" width="16.670000076293945" hidden="0" customWidth="1"/>
    <x:col min="13" max="13" width="11.109999656677246" hidden="0" customWidth="1"/>
  </x:cols>
  <x:sheetData>
    <x:row r="1">
      <x:c r="A1" s="3" t="str">
        <x:v>Model</x:v>
      </x:c>
      <x:c r="B1" s="3" t="str">
        <x:v>Dataset</x:v>
      </x:c>
      <x:c r="C1" s="3" t="str">
        <x:v>Horizon</x:v>
      </x:c>
      <x:c r="D1" s="3" t="str">
        <x:v>From</x:v>
      </x:c>
      <x:c r="E1" s="3" t="str">
        <x:v>To</x:v>
      </x:c>
      <x:c r="F1" s="3" t="str">
        <x:v>From MSE</x:v>
      </x:c>
      <x:c r="G1" s="3" t="str">
        <x:v>To MSE</x:v>
      </x:c>
      <x:c r="H1" s="3" t="str">
        <x:v>Abs Drop</x:v>
      </x:c>
      <x:c r="I1" s="3" t="str">
        <x:v>% Improvement</x:v>
      </x:c>
      <x:c r="J1" s="3" t="str">
        <x:v>Improved?</x:v>
      </x:c>
      <x:c r="L1" s="8" t="str">
        <x:v>COSA-P improvement over Baseline</x:v>
      </x:c>
      <x:c r="M1" s="8"/>
      <x:c r="N1" s="8"/>
      <x:c r="O1" s="8"/>
    </x:row>
    <x:row r="2">
      <x:c r="A2" t="str">
        <x:v>iTransformer</x:v>
      </x:c>
      <x:c r="B2" t="str">
        <x:v>ETTh1</x:v>
      </x:c>
      <x:c r="C2" t="n">
        <x:v>96</x:v>
      </x:c>
      <x:c r="D2" t="str">
        <x:v>Baseline</x:v>
      </x:c>
      <x:c r="E2" t="str">
        <x:v>COSA-P</x:v>
      </x:c>
      <x:c r="F2" s="4" t="n">
        <x:v>0.4498666666666667</x:v>
      </x:c>
      <x:c r="G2" s="4" t="n">
        <x:v>0.4310751756032308</x:v>
      </x:c>
      <x:c r="H2" s="4" t="n">
        <x:f>IF(OR(F2="",G2=""),"",F2-G2)</x:f>
        <x:v>0.018791491063435917</x:v>
      </x:c>
      <x:c r="I2" s="5" t="n">
        <x:f>IFERROR(H2/F2,"")</x:f>
        <x:v>0.041771245695248774</x:v>
      </x:c>
      <x:c r="J2" t="str">
        <x:f>IF(H2&gt;0,"Yes",IF(H2&lt;0,"No","Tie"))</x:f>
        <x:v>Yes</x:v>
      </x:c>
      <x:c r="L2" t="str">
        <x:v>Metric</x:v>
      </x:c>
      <x:c r="M2" t="str">
        <x:v>Value</x:v>
      </x:c>
      <x:c r="N2"/>
      <x:c r="O2"/>
    </x:row>
    <x:row r="3">
      <x:c r="A3" t="str">
        <x:v>iTransformer</x:v>
      </x:c>
      <x:c r="B3" t="str">
        <x:v>ETTh1</x:v>
      </x:c>
      <x:c r="C3" t="n">
        <x:v>192</x:v>
      </x:c>
      <x:c r="D3" t="str">
        <x:v>Baseline</x:v>
      </x:c>
      <x:c r="E3" t="str">
        <x:v>COSA-P</x:v>
      </x:c>
      <x:c r="F3" s="4" t="n">
        <x:v>0.5133</x:v>
      </x:c>
      <x:c r="G3" s="4" t="n">
        <x:v>0.4975973864396413</x:v>
      </x:c>
      <x:c r="H3" s="4" t="n">
        <x:f>IF(OR(F3="",G3=""),"",F3-G3)</x:f>
        <x:v>0.01570261356035868</x:v>
      </x:c>
      <x:c r="I3" s="5" t="n">
        <x:f>IFERROR(H3/F3,"")</x:f>
        <x:v>0.03059149339637382</x:v>
      </x:c>
      <x:c r="J3" t="str">
        <x:f>IF(H3&gt;0,"Yes",IF(H3&lt;0,"No","Tie"))</x:f>
        <x:v>Yes</x:v>
      </x:c>
      <x:c r="L3" t="str">
        <x:v>N</x:v>
      </x:c>
      <x:c r="M3" s="6" t="n">
        <x:f>COUNT(H2:H172)</x:f>
        <x:v>171</x:v>
      </x:c>
      <x:c r="N3"/>
      <x:c r="O3"/>
    </x:row>
    <x:row r="4">
      <x:c r="A4" t="str">
        <x:v>iTransformer</x:v>
      </x:c>
      <x:c r="B4" t="str">
        <x:v>ETTh1</x:v>
      </x:c>
      <x:c r="C4" t="n">
        <x:v>336</x:v>
      </x:c>
      <x:c r="D4" t="str">
        <x:v>Baseline</x:v>
      </x:c>
      <x:c r="E4" t="str">
        <x:v>COSA-P</x:v>
      </x:c>
      <x:c r="F4" s="4" t="n">
        <x:v>0.5874</x:v>
      </x:c>
      <x:c r="G4" s="4" t="n">
        <x:v>0.5291003783543905</x:v>
      </x:c>
      <x:c r="H4" s="4" t="n">
        <x:f>IF(OR(F4="",G4=""),"",F4-G4)</x:f>
        <x:v>0.058299621645609534</x:v>
      </x:c>
      <x:c r="I4" s="5" t="n">
        <x:f>IFERROR(H4/F4,"")</x:f>
        <x:v>0.09925029221247791</x:v>
      </x:c>
      <x:c r="J4" t="str">
        <x:f>IF(H4&gt;0,"Yes",IF(H4&lt;0,"No","Tie"))</x:f>
        <x:v>Yes</x:v>
      </x:c>
      <x:c r="L4" t="str">
        <x:v>Avg % Improvement</x:v>
      </x:c>
      <x:c r="M4" s="5" t="n">
        <x:f>AVERAGE(I2:I172)</x:f>
        <x:v>0.045811723512504156</x:v>
      </x:c>
      <x:c r="N4"/>
      <x:c r="O4"/>
    </x:row>
    <x:row r="5">
      <x:c r="A5" t="str">
        <x:v>iTransformer</x:v>
      </x:c>
      <x:c r="B5" t="str">
        <x:v>ETTh1</x:v>
      </x:c>
      <x:c r="C5" t="n">
        <x:v>720</x:v>
      </x:c>
      <x:c r="D5" t="str">
        <x:v>Baseline</x:v>
      </x:c>
      <x:c r="E5" t="str">
        <x:v>COSA-P</x:v>
      </x:c>
      <x:c r="F5" s="4" t="n">
        <x:v>0.7347666666666667</x:v>
      </x:c>
      <x:c r="G5" s="4" t="n">
        <x:v>0.5776919523874918</x:v>
      </x:c>
      <x:c r="H5" s="4" t="n">
        <x:f>IF(OR(F5="",G5=""),"",F5-G5)</x:f>
        <x:v>0.15707471427917485</x:v>
      </x:c>
      <x:c r="I5" s="5" t="n">
        <x:f>IFERROR(H5/F5,"")</x:f>
        <x:v>0.21377495932383275</x:v>
      </x:c>
      <x:c r="J5" t="str">
        <x:f>IF(H5&gt;0,"Yes",IF(H5&lt;0,"No","Tie"))</x:f>
        <x:v>Yes</x:v>
      </x:c>
      <x:c r="L5" t="str">
        <x:v>Win Rate</x:v>
      </x:c>
      <x:c r="M5" s="5" t="n">
        <x:f>COUNTIF(H2:H172,"&gt;0")/M3</x:f>
        <x:v>0.6608187134502924</x:v>
      </x:c>
      <x:c r="N5"/>
      <x:c r="O5"/>
    </x:row>
    <x:row r="6">
      <x:c r="A6" t="str">
        <x:v>iTransformer</x:v>
      </x:c>
      <x:c r="B6" t="str">
        <x:v>ETTh2</x:v>
      </x:c>
      <x:c r="C6" t="n">
        <x:v>96</x:v>
      </x:c>
      <x:c r="D6" t="str">
        <x:v>Baseline</x:v>
      </x:c>
      <x:c r="E6" t="str">
        <x:v>COSA-P</x:v>
      </x:c>
      <x:c r="F6" s="4" t="n">
        <x:v>0.1981</x:v>
      </x:c>
      <x:c r="G6" s="4" t="n">
        <x:v>0.19362633923689523</x:v>
      </x:c>
      <x:c r="H6" s="4" t="n">
        <x:f>IF(OR(F6="",G6=""),"",F6-G6)</x:f>
        <x:v>0.004473660763104764</x:v>
      </x:c>
      <x:c r="I6" s="5" t="n">
        <x:f>IFERROR(H6/F6,"")</x:f>
        <x:v>0.022582840803153783</x:v>
      </x:c>
      <x:c r="J6" t="str">
        <x:f>IF(H6&gt;0,"Yes",IF(H6&lt;0,"No","Tie"))</x:f>
        <x:v>Yes</x:v>
      </x:c>
    </x:row>
    <x:row r="7">
      <x:c r="A7" t="str">
        <x:v>iTransformer</x:v>
      </x:c>
      <x:c r="B7" t="str">
        <x:v>ETTh2</x:v>
      </x:c>
      <x:c r="C7" t="n">
        <x:v>192</x:v>
      </x:c>
      <x:c r="D7" t="str">
        <x:v>Baseline</x:v>
      </x:c>
      <x:c r="E7" t="str">
        <x:v>COSA-P</x:v>
      </x:c>
      <x:c r="F7" s="4" t="n">
        <x:v>0.2417</x:v>
      </x:c>
      <x:c r="G7" s="4" t="n">
        <x:v>0.24823777377605438</x:v>
      </x:c>
      <x:c r="H7" s="4" t="n">
        <x:f>IF(OR(F7="",G7=""),"",F7-G7)</x:f>
        <x:v>-0.006537773776054384</x:v>
      </x:c>
      <x:c r="I7" s="5" t="n">
        <x:f>IFERROR(H7/F7,"")</x:f>
        <x:v>-0.027049126090419463</x:v>
      </x:c>
      <x:c r="J7" t="str">
        <x:f>IF(H7&gt;0,"Yes",IF(H7&lt;0,"No","Tie"))</x:f>
        <x:v>No</x:v>
      </x:c>
    </x:row>
    <x:row r="8">
      <x:c r="A8" t="str">
        <x:v>iTransformer</x:v>
      </x:c>
      <x:c r="B8" t="str">
        <x:v>ETTh2</x:v>
      </x:c>
      <x:c r="C8" t="n">
        <x:v>336</x:v>
      </x:c>
      <x:c r="D8" t="str">
        <x:v>Baseline</x:v>
      </x:c>
      <x:c r="E8" t="str">
        <x:v>COSA-P</x:v>
      </x:c>
      <x:c r="F8" s="4" t="n">
        <x:v>0.2671</x:v>
      </x:c>
      <x:c r="G8" s="4" t="n">
        <x:v>0.2628502945105235</x:v>
      </x:c>
      <x:c r="H8" s="4" t="n">
        <x:f>IF(OR(F8="",G8=""),"",F8-G8)</x:f>
        <x:v>0.004249705489476507</x:v>
      </x:c>
      <x:c r="I8" s="5" t="n">
        <x:f>IFERROR(H8/F8,"")</x:f>
        <x:v>0.01591054095648262</x:v>
      </x:c>
      <x:c r="J8" t="str">
        <x:f>IF(H8&gt;0,"Yes",IF(H8&lt;0,"No","Tie"))</x:f>
        <x:v>Yes</x:v>
      </x:c>
    </x:row>
    <x:row r="9">
      <x:c r="A9" t="str">
        <x:v>iTransformer</x:v>
      </x:c>
      <x:c r="B9" t="str">
        <x:v>ETTh2</x:v>
      </x:c>
      <x:c r="C9" t="n">
        <x:v>720</x:v>
      </x:c>
      <x:c r="D9" t="str">
        <x:v>Baseline</x:v>
      </x:c>
      <x:c r="E9" t="str">
        <x:v>COSA-P</x:v>
      </x:c>
      <x:c r="F9" s="4" t="n">
        <x:v>0.3339666666666667</x:v>
      </x:c>
      <x:c r="G9" s="4" t="n">
        <x:v>0.2868092656135559</x:v>
      </x:c>
      <x:c r="H9" s="4" t="n">
        <x:f>IF(OR(F9="",G9=""),"",F9-G9)</x:f>
        <x:v>0.04715740105311078</x:v>
      </x:c>
      <x:c r="I9" s="5" t="n">
        <x:f>IFERROR(H9/F9,"")</x:f>
        <x:v>0.14120391571946536</x:v>
      </x:c>
      <x:c r="J9" t="str">
        <x:f>IF(H9&gt;0,"Yes",IF(H9&lt;0,"No","Tie"))</x:f>
        <x:v>Yes</x:v>
      </x:c>
    </x:row>
    <x:row r="10">
      <x:c r="A10" t="str">
        <x:v>iTransformer</x:v>
      </x:c>
      <x:c r="B10" t="str">
        <x:v>ETTm1</x:v>
      </x:c>
      <x:c r="C10" t="n">
        <x:v>96</x:v>
      </x:c>
      <x:c r="D10" t="str">
        <x:v>Baseline</x:v>
      </x:c>
      <x:c r="E10" t="str">
        <x:v>COSA-P</x:v>
      </x:c>
      <x:c r="F10" s="4" t="n">
        <x:v>0.39953333333333335</x:v>
      </x:c>
      <x:c r="G10" s="4" t="n">
        <x:v>0.35371846954027814</x:v>
      </x:c>
      <x:c r="H10" s="4" t="n">
        <x:f>IF(OR(F10="",G10=""),"",F10-G10)</x:f>
        <x:v>0.045814863793055216</x:v>
      </x:c>
      <x:c r="I10" s="5" t="n">
        <x:f>IFERROR(H10/F10,"")</x:f>
        <x:v>0.11467094224859473</x:v>
      </x:c>
      <x:c r="J10" t="str">
        <x:f>IF(H10&gt;0,"Yes",IF(H10&lt;0,"No","Tie"))</x:f>
        <x:v>Yes</x:v>
      </x:c>
    </x:row>
    <x:row r="11">
      <x:c r="A11" t="str">
        <x:v>iTransformer</x:v>
      </x:c>
      <x:c r="B11" t="str">
        <x:v>ETTm1</x:v>
      </x:c>
      <x:c r="C11" t="n">
        <x:v>192</x:v>
      </x:c>
      <x:c r="D11" t="str">
        <x:v>Baseline</x:v>
      </x:c>
      <x:c r="E11" t="str">
        <x:v>COSA-P</x:v>
      </x:c>
      <x:c r="F11" s="4" t="n">
        <x:v>0.4421333333333333</x:v>
      </x:c>
      <x:c r="G11" s="4" t="n">
        <x:v>0.41644007960955304</x:v>
      </x:c>
      <x:c r="H11" s="4" t="n">
        <x:f>IF(OR(F11="",G11=""),"",F11-G11)</x:f>
        <x:v>0.025693253723780285</x:v>
      </x:c>
      <x:c r="I11" s="5" t="n">
        <x:f>IFERROR(H11/F11,"")</x:f>
        <x:v>0.058112003295642985</x:v>
      </x:c>
      <x:c r="J11" t="str">
        <x:f>IF(H11&gt;0,"Yes",IF(H11&lt;0,"No","Tie"))</x:f>
        <x:v>Yes</x:v>
      </x:c>
    </x:row>
    <x:row r="12">
      <x:c r="A12" t="str">
        <x:v>iTransformer</x:v>
      </x:c>
      <x:c r="B12" t="str">
        <x:v>ETTm1</x:v>
      </x:c>
      <x:c r="C12" t="n">
        <x:v>336</x:v>
      </x:c>
      <x:c r="D12" t="str">
        <x:v>Baseline</x:v>
      </x:c>
      <x:c r="E12" t="str">
        <x:v>COSA-P</x:v>
      </x:c>
      <x:c r="F12" s="4" t="n">
        <x:v>0.5099</x:v>
      </x:c>
      <x:c r="G12" s="4" t="n">
        <x:v>0.49512170751889545</x:v>
      </x:c>
      <x:c r="H12" s="4" t="n">
        <x:f>IF(OR(F12="",G12=""),"",F12-G12)</x:f>
        <x:v>0.014778292481104571</x:v>
      </x:c>
      <x:c r="I12" s="5" t="n">
        <x:f>IFERROR(H12/F12,"")</x:f>
        <x:v>0.02898272696823803</x:v>
      </x:c>
      <x:c r="J12" t="str">
        <x:f>IF(H12&gt;0,"Yes",IF(H12&lt;0,"No","Tie"))</x:f>
        <x:v>Yes</x:v>
      </x:c>
    </x:row>
    <x:row r="13">
      <x:c r="A13" t="str">
        <x:v>iTransformer</x:v>
      </x:c>
      <x:c r="B13" t="str">
        <x:v>ETTm1</x:v>
      </x:c>
      <x:c r="C13" t="n">
        <x:v>720</x:v>
      </x:c>
      <x:c r="D13" t="str">
        <x:v>Baseline</x:v>
      </x:c>
      <x:c r="E13" t="str">
        <x:v>COSA-P</x:v>
      </x:c>
      <x:c r="F13" s="4" t="n">
        <x:v>0.6108</x:v>
      </x:c>
      <x:c r="G13" s="4" t="n">
        <x:v>0.5885899066925049</x:v>
      </x:c>
      <x:c r="H13" s="4" t="n">
        <x:f>IF(OR(F13="",G13=""),"",F13-G13)</x:f>
        <x:v>0.022210093307495127</x:v>
      </x:c>
      <x:c r="I13" s="5" t="n">
        <x:f>IFERROR(H13/F13,"")</x:f>
        <x:v>0.036362300765381675</x:v>
      </x:c>
      <x:c r="J13" t="str">
        <x:f>IF(H13&gt;0,"Yes",IF(H13&lt;0,"No","Tie"))</x:f>
        <x:v>Yes</x:v>
      </x:c>
    </x:row>
    <x:row r="14">
      <x:c r="A14" t="str">
        <x:v>iTransformer</x:v>
      </x:c>
      <x:c r="B14" t="str">
        <x:v>ETTm2</x:v>
      </x:c>
      <x:c r="C14" t="n">
        <x:v>96</x:v>
      </x:c>
      <x:c r="D14" t="str">
        <x:v>Baseline</x:v>
      </x:c>
      <x:c r="E14" t="str">
        <x:v>COSA-P</x:v>
      </x:c>
      <x:c r="F14" s="4" t="n">
        <x:v>0.1251</x:v>
      </x:c>
      <x:c r="G14" s="4" t="n">
        <x:v>0.12630697091420492</x:v>
      </x:c>
      <x:c r="H14" s="4" t="n">
        <x:f>IF(OR(F14="",G14=""),"",F14-G14)</x:f>
        <x:v>-0.0012069709142049356</x:v>
      </x:c>
      <x:c r="I14" s="5" t="n">
        <x:f>IFERROR(H14/F14,"")</x:f>
        <x:v>-0.009648048874539855</x:v>
      </x:c>
      <x:c r="J14" t="str">
        <x:f>IF(H14&gt;0,"Yes",IF(H14&lt;0,"No","Tie"))</x:f>
        <x:v>No</x:v>
      </x:c>
    </x:row>
    <x:row r="15">
      <x:c r="A15" t="str">
        <x:v>iTransformer</x:v>
      </x:c>
      <x:c r="B15" t="str">
        <x:v>ETTm2</x:v>
      </x:c>
      <x:c r="C15" t="n">
        <x:v>192</x:v>
      </x:c>
      <x:c r="D15" t="str">
        <x:v>Baseline</x:v>
      </x:c>
      <x:c r="E15" t="str">
        <x:v>COSA-P</x:v>
      </x:c>
      <x:c r="F15" s="4" t="n">
        <x:v>0.16163333333333332</x:v>
      </x:c>
      <x:c r="G15" s="4" t="n">
        <x:v>0.16692059735457102</x:v>
      </x:c>
      <x:c r="H15" s="4" t="n">
        <x:f>IF(OR(F15="",G15=""),"",F15-G15)</x:f>
        <x:v>-0.005287264021237692</x:v>
      </x:c>
      <x:c r="I15" s="5" t="n">
        <x:f>IFERROR(H15/F15,"")</x:f>
        <x:v>-0.032711470537663594</x:v>
      </x:c>
      <x:c r="J15" t="str">
        <x:f>IF(H15&gt;0,"Yes",IF(H15&lt;0,"No","Tie"))</x:f>
        <x:v>No</x:v>
      </x:c>
    </x:row>
    <x:row r="16">
      <x:c r="A16" t="str">
        <x:v>iTransformer</x:v>
      </x:c>
      <x:c r="B16" t="str">
        <x:v>ETTm2</x:v>
      </x:c>
      <x:c r="C16" t="n">
        <x:v>336</x:v>
      </x:c>
      <x:c r="D16" t="str">
        <x:v>Baseline</x:v>
      </x:c>
      <x:c r="E16" t="str">
        <x:v>COSA-P</x:v>
      </x:c>
      <x:c r="F16" s="4" t="n">
        <x:v>0.20093333333333332</x:v>
      </x:c>
      <x:c r="G16" s="4" t="n">
        <x:v>0.20988498628139496</x:v>
      </x:c>
      <x:c r="H16" s="4" t="n">
        <x:f>IF(OR(F16="",G16=""),"",F16-G16)</x:f>
        <x:v>-0.008951652948061634</x:v>
      </x:c>
      <x:c r="I16" s="5" t="n">
        <x:f>IFERROR(H16/F16,"")</x:f>
        <x:v>-0.04455036304609307</x:v>
      </x:c>
      <x:c r="J16" t="str">
        <x:f>IF(H16&gt;0,"Yes",IF(H16&lt;0,"No","Tie"))</x:f>
        <x:v>No</x:v>
      </x:c>
    </x:row>
    <x:row r="17">
      <x:c r="A17" t="str">
        <x:v>iTransformer</x:v>
      </x:c>
      <x:c r="B17" t="str">
        <x:v>ETTm2</x:v>
      </x:c>
      <x:c r="C17" t="n">
        <x:v>720</x:v>
      </x:c>
      <x:c r="D17" t="str">
        <x:v>Baseline</x:v>
      </x:c>
      <x:c r="E17" t="str">
        <x:v>COSA-P</x:v>
      </x:c>
      <x:c r="F17" s="4" t="n">
        <x:v>0.26203333333333334</x:v>
      </x:c>
      <x:c r="G17" s="4" t="n">
        <x:v>0.2634797195593516</x:v>
      </x:c>
      <x:c r="H17" s="4" t="n">
        <x:f>IF(OR(F17="",G17=""),"",F17-G17)</x:f>
        <x:v>-0.0014463862260182814</x:v>
      </x:c>
      <x:c r="I17" s="5" t="n">
        <x:f>IFERROR(H17/F17,"")</x:f>
        <x:v>-0.005519855842837863</x:v>
      </x:c>
      <x:c r="J17" t="str">
        <x:f>IF(H17&gt;0,"Yes",IF(H17&lt;0,"No","Tie"))</x:f>
        <x:v>No</x:v>
      </x:c>
    </x:row>
    <x:row r="18">
      <x:c r="A18" t="str">
        <x:v>iTransformer</x:v>
      </x:c>
      <x:c r="B18" t="str">
        <x:v>Exchange Rate</x:v>
      </x:c>
      <x:c r="C18" t="n">
        <x:v>96</x:v>
      </x:c>
      <x:c r="D18" t="str">
        <x:v>Baseline</x:v>
      </x:c>
      <x:c r="E18" t="str">
        <x:v>COSA-P</x:v>
      </x:c>
      <x:c r="F18" s="4" t="n">
        <x:v>0.0927</x:v>
      </x:c>
      <x:c r="G18" s="4" t="n">
        <x:v>0.08865931381781895</x:v>
      </x:c>
      <x:c r="H18" s="4" t="n">
        <x:f>IF(OR(F18="",G18=""),"",F18-G18)</x:f>
        <x:v>0.00404068618218105</x:v>
      </x:c>
      <x:c r="I18" s="5" t="n">
        <x:f>IFERROR(H18/F18,"")</x:f>
        <x:v>0.04358884770421844</x:v>
      </x:c>
      <x:c r="J18" t="str">
        <x:f>IF(H18&gt;0,"Yes",IF(H18&lt;0,"No","Tie"))</x:f>
        <x:v>Yes</x:v>
      </x:c>
    </x:row>
    <x:row r="19">
      <x:c r="A19" t="str">
        <x:v>iTransformer</x:v>
      </x:c>
      <x:c r="B19" t="str">
        <x:v>Exchange Rate</x:v>
      </x:c>
      <x:c r="C19" t="n">
        <x:v>192</x:v>
      </x:c>
      <x:c r="D19" t="str">
        <x:v>Baseline</x:v>
      </x:c>
      <x:c r="E19" t="str">
        <x:v>COSA-P</x:v>
      </x:c>
      <x:c r="F19" s="4" t="n">
        <x:v>0.19776666666666667</x:v>
      </x:c>
      <x:c r="G19" s="4" t="n">
        <x:v>0.17704390982786813</x:v>
      </x:c>
      <x:c r="H19" s="4" t="n">
        <x:f>IF(OR(F19="",G19=""),"",F19-G19)</x:f>
        <x:v>0.02072275683879854</x:v>
      </x:c>
      <x:c r="I19" s="5" t="n">
        <x:f>IFERROR(H19/F19,"")</x:f>
        <x:v>0.10478387075070894</x:v>
      </x:c>
      <x:c r="J19" t="str">
        <x:f>IF(H19&gt;0,"Yes",IF(H19&lt;0,"No","Tie"))</x:f>
        <x:v>Yes</x:v>
      </x:c>
    </x:row>
    <x:row r="20">
      <x:c r="A20" t="str">
        <x:v>iTransformer</x:v>
      </x:c>
      <x:c r="B20" t="str">
        <x:v>Exchange Rate</x:v>
      </x:c>
      <x:c r="C20" t="n">
        <x:v>336</x:v>
      </x:c>
      <x:c r="D20" t="str">
        <x:v>Baseline</x:v>
      </x:c>
      <x:c r="E20" t="str">
        <x:v>COSA-P</x:v>
      </x:c>
      <x:c r="F20" s="4" t="n">
        <x:v>0.3455333333333333</x:v>
      </x:c>
      <x:c r="G20" s="4" t="n">
        <x:v>0.2801667849222819</x:v>
      </x:c>
      <x:c r="H20" s="4" t="n">
        <x:f>IF(OR(F20="",G20=""),"",F20-G20)</x:f>
        <x:v>0.06536654841105138</x:v>
      </x:c>
      <x:c r="I20" s="5" t="n">
        <x:f>IFERROR(H20/F20,"")</x:f>
        <x:v>0.18917581056642307</x:v>
      </x:c>
      <x:c r="J20" t="str">
        <x:f>IF(H20&gt;0,"Yes",IF(H20&lt;0,"No","Tie"))</x:f>
        <x:v>Yes</x:v>
      </x:c>
    </x:row>
    <x:row r="21">
      <x:c r="A21" t="str">
        <x:v>iTransformer</x:v>
      </x:c>
      <x:c r="B21" t="str">
        <x:v>Exchange Rate</x:v>
      </x:c>
      <x:c r="C21" t="n">
        <x:v>720</x:v>
      </x:c>
      <x:c r="D21" t="str">
        <x:v>Baseline</x:v>
      </x:c>
      <x:c r="E21" t="str">
        <x:v>COSA-P</x:v>
      </x:c>
      <x:c r="F21" s="4" t="n">
        <x:v>0.9142333333333333</x:v>
      </x:c>
      <x:c r="G21" s="4" t="n">
        <x:v>0.5478642582893372</x:v>
      </x:c>
      <x:c r="H21" s="4" t="n">
        <x:f>IF(OR(F21="",G21=""),"",F21-G21)</x:f>
        <x:v>0.3663690750439962</x:v>
      </x:c>
      <x:c r="I21" s="5" t="n">
        <x:f>IFERROR(H21/F21,"")</x:f>
        <x:v>0.4007391348423045</x:v>
      </x:c>
      <x:c r="J21" t="str">
        <x:f>IF(H21&gt;0,"Yes",IF(H21&lt;0,"No","Tie"))</x:f>
        <x:v>Yes</x:v>
      </x:c>
    </x:row>
    <x:row r="22">
      <x:c r="A22" t="str">
        <x:v>iTransformer</x:v>
      </x:c>
      <x:c r="B22" t="str">
        <x:v>weather</x:v>
      </x:c>
      <x:c r="C22" t="n">
        <x:v>96</x:v>
      </x:c>
      <x:c r="D22" t="str">
        <x:v>Baseline</x:v>
      </x:c>
      <x:c r="E22" t="str">
        <x:v>COSA-P</x:v>
      </x:c>
      <x:c r="F22" s="4" t="n">
        <x:v>0.17246666666666666</x:v>
      </x:c>
      <x:c r="G22" s="4" t="n">
        <x:v>0.1653933028380076</x:v>
      </x:c>
      <x:c r="H22" s="4" t="n">
        <x:f>IF(OR(F22="",G22=""),"",F22-G22)</x:f>
        <x:v>0.007073363828659057</x:v>
      </x:c>
      <x:c r="I22" s="5" t="n">
        <x:f>IFERROR(H22/F22,"")</x:f>
        <x:v>0.041012932906797785</x:v>
      </x:c>
      <x:c r="J22" t="str">
        <x:f>IF(H22&gt;0,"Yes",IF(H22&lt;0,"No","Tie"))</x:f>
        <x:v>Yes</x:v>
      </x:c>
    </x:row>
    <x:row r="23">
      <x:c r="A23" t="str">
        <x:v>iTransformer</x:v>
      </x:c>
      <x:c r="B23" t="str">
        <x:v>weather</x:v>
      </x:c>
      <x:c r="C23" t="n">
        <x:v>192</x:v>
      </x:c>
      <x:c r="D23" t="str">
        <x:v>Baseline</x:v>
      </x:c>
      <x:c r="E23" t="str">
        <x:v>COSA-P</x:v>
      </x:c>
      <x:c r="F23" s="4" t="n">
        <x:v>0.2265</x:v>
      </x:c>
      <x:c r="G23" s="4" t="n">
        <x:v>0.23013276358445486</x:v>
      </x:c>
      <x:c r="H23" s="4" t="n">
        <x:f>IF(OR(F23="",G23=""),"",F23-G23)</x:f>
        <x:v>-0.0036327635844548567</x:v>
      </x:c>
      <x:c r="I23" s="5" t="n">
        <x:f>IFERROR(H23/F23,"")</x:f>
        <x:v>-0.016038691322096496</x:v>
      </x:c>
      <x:c r="J23" t="str">
        <x:f>IF(H23&gt;0,"Yes",IF(H23&lt;0,"No","Tie"))</x:f>
        <x:v>No</x:v>
      </x:c>
    </x:row>
    <x:row r="24">
      <x:c r="A24" t="str">
        <x:v>iTransformer</x:v>
      </x:c>
      <x:c r="B24" t="str">
        <x:v>weather</x:v>
      </x:c>
      <x:c r="C24" t="n">
        <x:v>336</x:v>
      </x:c>
      <x:c r="D24" t="str">
        <x:v>Baseline</x:v>
      </x:c>
      <x:c r="E24" t="str">
        <x:v>COSA-P</x:v>
      </x:c>
      <x:c r="F24" s="4" t="n">
        <x:v>0.2804</x:v>
      </x:c>
      <x:c r="G24" s="4" t="n">
        <x:v>0.32673539717992145</x:v>
      </x:c>
      <x:c r="H24" s="4" t="n">
        <x:f>IF(OR(F24="",G24=""),"",F24-G24)</x:f>
        <x:v>-0.04633539717992147</x:v>
      </x:c>
      <x:c r="I24" s="5" t="n">
        <x:f>IFERROR(H24/F24,"")</x:f>
        <x:v>-0.1652474935089924</x:v>
      </x:c>
      <x:c r="J24" t="str">
        <x:f>IF(H24&gt;0,"Yes",IF(H24&lt;0,"No","Tie"))</x:f>
        <x:v>No</x:v>
      </x:c>
    </x:row>
    <x:row r="25">
      <x:c r="A25" t="str">
        <x:v>iTransformer</x:v>
      </x:c>
      <x:c r="B25" t="str">
        <x:v>weather</x:v>
      </x:c>
      <x:c r="C25" t="n">
        <x:v>720</x:v>
      </x:c>
      <x:c r="D25" t="str">
        <x:v>Baseline</x:v>
      </x:c>
      <x:c r="E25" t="str">
        <x:v>COSA-P</x:v>
      </x:c>
      <x:c r="F25" s="4" t="n">
        <x:v>0.3565</x:v>
      </x:c>
      <x:c r="G25" s="4" t="n">
        <x:v>0.3585677246252696</x:v>
      </x:c>
      <x:c r="H25" s="4" t="n">
        <x:f>IF(OR(F25="",G25=""),"",F25-G25)</x:f>
        <x:v>-0.002067724625269607</x:v>
      </x:c>
      <x:c r="I25" s="5" t="n">
        <x:f>IFERROR(H25/F25,"")</x:f>
        <x:v>-0.0058000690750900615</x:v>
      </x:c>
      <x:c r="J25" t="str">
        <x:f>IF(H25&gt;0,"Yes",IF(H25&lt;0,"No","Tie"))</x:f>
        <x:v>No</x:v>
      </x:c>
    </x:row>
    <x:row r="26">
      <x:c r="A26" t="str">
        <x:v>iTransformer</x:v>
      </x:c>
      <x:c r="B26" t="str">
        <x:v>electricity</x:v>
      </x:c>
      <x:c r="C26" t="n">
        <x:v>96</x:v>
      </x:c>
      <x:c r="D26" t="str">
        <x:v>Baseline</x:v>
      </x:c>
      <x:c r="E26" t="str">
        <x:v>COSA-P</x:v>
      </x:c>
      <x:c r="F26" s="4" t="n">
        <x:v>0.16583333333333333</x:v>
      </x:c>
      <x:c r="G26" s="4" t="n">
        <x:v>0.15986650685469309</x:v>
      </x:c>
      <x:c r="H26" s="4" t="n">
        <x:f>IF(OR(F26="",G26=""),"",F26-G26)</x:f>
        <x:v>0.005966826478640247</x:v>
      </x:c>
      <x:c r="I26" s="5" t="n">
        <x:f>IFERROR(H26/F26,"")</x:f>
        <x:v>0.03598086318778038</x:v>
      </x:c>
      <x:c r="J26" t="str">
        <x:f>IF(H26&gt;0,"Yes",IF(H26&lt;0,"No","Tie"))</x:f>
        <x:v>Yes</x:v>
      </x:c>
    </x:row>
    <x:row r="27">
      <x:c r="A27" t="str">
        <x:v>iTransformer</x:v>
      </x:c>
      <x:c r="B27" t="str">
        <x:v>electricity</x:v>
      </x:c>
      <x:c r="C27" t="n">
        <x:v>192</x:v>
      </x:c>
      <x:c r="D27" t="str">
        <x:v>Baseline</x:v>
      </x:c>
      <x:c r="E27" t="str">
        <x:v>COSA-P</x:v>
      </x:c>
      <x:c r="F27" s="4" t="n">
        <x:v>0.17930000000000001</x:v>
      </x:c>
      <x:c r="G27" s="4" t="n">
        <x:v>0.17080611983935037</x:v>
      </x:c>
      <x:c r="H27" s="4" t="n">
        <x:f>IF(OR(F27="",G27=""),"",F27-G27)</x:f>
        <x:v>0.008493880160649642</x:v>
      </x:c>
      <x:c r="I27" s="5" t="n">
        <x:f>IFERROR(H27/F27,"")</x:f>
        <x:v>0.0473724493064676</x:v>
      </x:c>
      <x:c r="J27" t="str">
        <x:f>IF(H27&gt;0,"Yes",IF(H27&lt;0,"No","Tie"))</x:f>
        <x:v>Yes</x:v>
      </x:c>
    </x:row>
    <x:row r="28">
      <x:c r="A28" t="str">
        <x:v>iTransformer</x:v>
      </x:c>
      <x:c r="B28" t="str">
        <x:v>electricity</x:v>
      </x:c>
      <x:c r="C28" t="n">
        <x:v>336</x:v>
      </x:c>
      <x:c r="D28" t="str">
        <x:v>Baseline</x:v>
      </x:c>
      <x:c r="E28" t="str">
        <x:v>COSA-P</x:v>
      </x:c>
      <x:c r="F28" s="4" t="n">
        <x:v>0.1948</x:v>
      </x:c>
      <x:c r="G28" s="4" t="n">
        <x:v>0.1789950132369995</x:v>
      </x:c>
      <x:c r="H28" s="4" t="n">
        <x:f>IF(OR(F28="",G28=""),"",F28-G28)</x:f>
        <x:v>0.01580498676300049</x:v>
      </x:c>
      <x:c r="I28" s="5" t="n">
        <x:f>IFERROR(H28/F28,"")</x:f>
        <x:v>0.08113442896817499</x:v>
      </x:c>
      <x:c r="J28" t="str">
        <x:f>IF(H28&gt;0,"Yes",IF(H28&lt;0,"No","Tie"))</x:f>
        <x:v>Yes</x:v>
      </x:c>
    </x:row>
    <x:row r="29">
      <x:c r="A29" t="str">
        <x:v>iTransformer</x:v>
      </x:c>
      <x:c r="B29" t="str">
        <x:v>electricity</x:v>
      </x:c>
      <x:c r="C29" t="n">
        <x:v>720</x:v>
      </x:c>
      <x:c r="D29" t="str">
        <x:v>Baseline</x:v>
      </x:c>
      <x:c r="E29" t="str">
        <x:v>COSA-P</x:v>
      </x:c>
      <x:c r="F29" s="4" t="n">
        <x:v>0.23333333333333334</x:v>
      </x:c>
      <x:c r="G29" s="4" t="n">
        <x:v>0.2046805570522944</x:v>
      </x:c>
      <x:c r="H29" s="4" t="n">
        <x:f>IF(OR(F29="",G29=""),"",F29-G29)</x:f>
        <x:v>0.028652776281038933</x:v>
      </x:c>
      <x:c r="I29" s="5" t="n">
        <x:f>IFERROR(H29/F29,"")</x:f>
        <x:v>0.122797612633024</x:v>
      </x:c>
      <x:c r="J29" t="str">
        <x:f>IF(H29&gt;0,"Yes",IF(H29&lt;0,"No","Tie"))</x:f>
        <x:v>Yes</x:v>
      </x:c>
    </x:row>
    <x:row r="30">
      <x:c r="A30" t="str">
        <x:v>DLinear</x:v>
      </x:c>
      <x:c r="B30" t="str">
        <x:v>ETTh1</x:v>
      </x:c>
      <x:c r="C30" t="n">
        <x:v>96</x:v>
      </x:c>
      <x:c r="D30" t="str">
        <x:v>Baseline</x:v>
      </x:c>
      <x:c r="E30" t="str">
        <x:v>COSA-P</x:v>
      </x:c>
      <x:c r="F30" s="4" t="n">
        <x:v>0.4489</x:v>
      </x:c>
      <x:c r="G30" s="4" t="n">
        <x:v>0.452557772397995</x:v>
      </x:c>
      <x:c r="H30" s="4" t="n">
        <x:f>IF(OR(F30="",G30=""),"",F30-G30)</x:f>
        <x:v>-0.003657772397994974</x:v>
      </x:c>
      <x:c r="I30" s="5" t="n">
        <x:f>IFERROR(H30/F30,"")</x:f>
        <x:v>-0.008148301176197312</x:v>
      </x:c>
      <x:c r="J30" t="str">
        <x:f>IF(H30&gt;0,"Yes",IF(H30&lt;0,"No","Tie"))</x:f>
        <x:v>No</x:v>
      </x:c>
    </x:row>
    <x:row r="31">
      <x:c r="A31" t="str">
        <x:v>DLinear</x:v>
      </x:c>
      <x:c r="B31" t="str">
        <x:v>ETTh1</x:v>
      </x:c>
      <x:c r="C31" t="n">
        <x:v>192</x:v>
      </x:c>
      <x:c r="D31" t="str">
        <x:v>Baseline</x:v>
      </x:c>
      <x:c r="E31" t="str">
        <x:v>COSA-P</x:v>
      </x:c>
      <x:c r="F31" s="4" t="n">
        <x:v>0.5030666666666667</x:v>
      </x:c>
      <x:c r="G31" s="4" t="n">
        <x:v>0.5242875516414642</x:v>
      </x:c>
      <x:c r="H31" s="4" t="n">
        <x:f>IF(OR(F31="",G31=""),"",F31-G31)</x:f>
        <x:v>-0.02122088497479757</x:v>
      </x:c>
      <x:c r="I31" s="5" t="n">
        <x:f>IFERROR(H31/F31,"")</x:f>
        <x:v>-0.042183047259735436</x:v>
      </x:c>
      <x:c r="J31" t="str">
        <x:f>IF(H31&gt;0,"Yes",IF(H31&lt;0,"No","Tie"))</x:f>
        <x:v>No</x:v>
      </x:c>
    </x:row>
    <x:row r="32">
      <x:c r="A32" t="str">
        <x:v>DLinear</x:v>
      </x:c>
      <x:c r="B32" t="str">
        <x:v>ETTh1</x:v>
      </x:c>
      <x:c r="C32" t="n">
        <x:v>336</x:v>
      </x:c>
      <x:c r="D32" t="str">
        <x:v>Baseline</x:v>
      </x:c>
      <x:c r="E32" t="str">
        <x:v>COSA-P</x:v>
      </x:c>
      <x:c r="F32" s="4" t="n">
        <x:v>0.5517333333333333</x:v>
      </x:c>
      <x:c r="G32" s="4" t="n">
        <x:v>0.5335347056388855</x:v>
      </x:c>
      <x:c r="H32" s="4" t="n">
        <x:f>IF(OR(F32="",G32=""),"",F32-G32)</x:f>
        <x:v>0.0181986276944478</x:v>
      </x:c>
      <x:c r="I32" s="5" t="n">
        <x:f>IFERROR(H32/F32,"")</x:f>
        <x:v>0.032984462955137385</x:v>
      </x:c>
      <x:c r="J32" t="str">
        <x:f>IF(H32&gt;0,"Yes",IF(H32&lt;0,"No","Tie"))</x:f>
        <x:v>Yes</x:v>
      </x:c>
    </x:row>
    <x:row r="33">
      <x:c r="A33" t="str">
        <x:v>DLinear</x:v>
      </x:c>
      <x:c r="B33" t="str">
        <x:v>ETTh1</x:v>
      </x:c>
      <x:c r="C33" t="n">
        <x:v>720</x:v>
      </x:c>
      <x:c r="D33" t="str">
        <x:v>Baseline</x:v>
      </x:c>
      <x:c r="E33" t="str">
        <x:v>COSA-P</x:v>
      </x:c>
      <x:c r="F33" s="4" t="n">
        <x:v>0.7043666666666667</x:v>
      </x:c>
      <x:c r="G33" s="4" t="n">
        <x:v>0.5919471085071564</x:v>
      </x:c>
      <x:c r="H33" s="4" t="n">
        <x:f>IF(OR(F33="",G33=""),"",F33-G33)</x:f>
        <x:v>0.11241955815951032</x:v>
      </x:c>
      <x:c r="I33" s="5" t="n">
        <x:f>IFERROR(H33/F33,"")</x:f>
        <x:v>0.1596037454349207</x:v>
      </x:c>
      <x:c r="J33" t="str">
        <x:f>IF(H33&gt;0,"Yes",IF(H33&lt;0,"No","Tie"))</x:f>
        <x:v>Yes</x:v>
      </x:c>
    </x:row>
    <x:row r="34">
      <x:c r="A34" t="str">
        <x:v>DLinear</x:v>
      </x:c>
      <x:c r="B34" t="str">
        <x:v>ETTh2</x:v>
      </x:c>
      <x:c r="C34" t="n">
        <x:v>96</x:v>
      </x:c>
      <x:c r="D34" t="str">
        <x:v>Baseline</x:v>
      </x:c>
      <x:c r="E34" t="str">
        <x:v>COSA-P</x:v>
      </x:c>
      <x:c r="F34" s="4" t="n">
        <x:v>0.1792</x:v>
      </x:c>
      <x:c r="G34" s="4" t="n">
        <x:v>0.17882581055164337</x:v>
      </x:c>
      <x:c r="H34" s="4" t="n">
        <x:f>IF(OR(F34="",G34=""),"",F34-G34)</x:f>
        <x:v>0.0003741894483566266</x:v>
      </x:c>
      <x:c r="I34" s="5" t="n">
        <x:f>IFERROR(H34/F34,"")</x:f>
        <x:v>0.002088110760918675</x:v>
      </x:c>
      <x:c r="J34" t="str">
        <x:f>IF(H34&gt;0,"Yes",IF(H34&lt;0,"No","Tie"))</x:f>
        <x:v>Yes</x:v>
      </x:c>
    </x:row>
    <x:row r="35">
      <x:c r="A35" t="str">
        <x:v>DLinear</x:v>
      </x:c>
      <x:c r="B35" t="str">
        <x:v>ETTh2</x:v>
      </x:c>
      <x:c r="C35" t="n">
        <x:v>192</x:v>
      </x:c>
      <x:c r="D35" t="str">
        <x:v>Baseline</x:v>
      </x:c>
      <x:c r="E35" t="str">
        <x:v>COSA-P</x:v>
      </x:c>
      <x:c r="F35" s="4" t="n">
        <x:v>0.22106666666666666</x:v>
      </x:c>
      <x:c r="G35" s="4" t="n">
        <x:v>0.2314051315188408</x:v>
      </x:c>
      <x:c r="H35" s="4" t="n">
        <x:f>IF(OR(F35="",G35=""),"",F35-G35)</x:f>
        <x:v>-0.010338464852174128</x:v>
      </x:c>
      <x:c r="I35" s="5" t="n">
        <x:f>IFERROR(H35/F35,"")</x:f>
        <x:v>-0.04676627647244027</x:v>
      </x:c>
      <x:c r="J35" t="str">
        <x:f>IF(H35&gt;0,"Yes",IF(H35&lt;0,"No","Tie"))</x:f>
        <x:v>No</x:v>
      </x:c>
    </x:row>
    <x:row r="36">
      <x:c r="A36" t="str">
        <x:v>DLinear</x:v>
      </x:c>
      <x:c r="B36" t="str">
        <x:v>ETTh2</x:v>
      </x:c>
      <x:c r="C36" t="n">
        <x:v>336</x:v>
      </x:c>
      <x:c r="D36" t="str">
        <x:v>Baseline</x:v>
      </x:c>
      <x:c r="E36" t="str">
        <x:v>COSA-P</x:v>
      </x:c>
      <x:c r="F36" s="4" t="n">
        <x:v>0.2507</x:v>
      </x:c>
      <x:c r="G36" s="4" t="n">
        <x:v>0.25274820625782013</x:v>
      </x:c>
      <x:c r="H36" s="4" t="n">
        <x:f>IF(OR(F36="",G36=""),"",F36-G36)</x:f>
        <x:v>-0.002048206257820151</x:v>
      </x:c>
      <x:c r="I36" s="5" t="n">
        <x:f>IFERROR(H36/F36,"")</x:f>
        <x:v>-0.008169949173594539</x:v>
      </x:c>
      <x:c r="J36" t="str">
        <x:f>IF(H36&gt;0,"Yes",IF(H36&lt;0,"No","Tie"))</x:f>
        <x:v>No</x:v>
      </x:c>
    </x:row>
    <x:row r="37">
      <x:c r="A37" t="str">
        <x:v>DLinear</x:v>
      </x:c>
      <x:c r="B37" t="str">
        <x:v>ETTh2</x:v>
      </x:c>
      <x:c r="C37" t="n">
        <x:v>720</x:v>
      </x:c>
      <x:c r="D37" t="str">
        <x:v>Baseline</x:v>
      </x:c>
      <x:c r="E37" t="str">
        <x:v>COSA-P</x:v>
      </x:c>
      <x:c r="F37" s="4" t="n">
        <x:v>0.3149</x:v>
      </x:c>
      <x:c r="G37" s="4" t="n">
        <x:v>0.2760893404483795</x:v>
      </x:c>
      <x:c r="H37" s="4" t="n">
        <x:f>IF(OR(F37="",G37=""),"",F37-G37)</x:f>
        <x:v>0.0388106595516205</x:v>
      </x:c>
      <x:c r="I37" s="5" t="n">
        <x:f>IFERROR(H37/F37,"")</x:f>
        <x:v>0.12324756923347252</x:v>
      </x:c>
      <x:c r="J37" t="str">
        <x:f>IF(H37&gt;0,"Yes",IF(H37&lt;0,"No","Tie"))</x:f>
        <x:v>Yes</x:v>
      </x:c>
    </x:row>
    <x:row r="38">
      <x:c r="A38" t="str">
        <x:v>DLinear</x:v>
      </x:c>
      <x:c r="B38" t="str">
        <x:v>ETTm1</x:v>
      </x:c>
      <x:c r="C38" t="n">
        <x:v>96</x:v>
      </x:c>
      <x:c r="D38" t="str">
        <x:v>Baseline</x:v>
      </x:c>
      <x:c r="E38" t="str">
        <x:v>COSA-P</x:v>
      </x:c>
      <x:c r="F38" s="4" t="n">
        <x:v>0.36196666666666666</x:v>
      </x:c>
      <x:c r="G38" s="4" t="n">
        <x:v>0.3441988527774811</x:v>
      </x:c>
      <x:c r="H38" s="4" t="n">
        <x:f>IF(OR(F38="",G38=""),"",F38-G38)</x:f>
        <x:v>0.01776781388918558</x:v>
      </x:c>
      <x:c r="I38" s="5" t="n">
        <x:f>IFERROR(H38/F38,"")</x:f>
        <x:v>0.04908687878032668</x:v>
      </x:c>
      <x:c r="J38" t="str">
        <x:f>IF(H38&gt;0,"Yes",IF(H38&lt;0,"No","Tie"))</x:f>
        <x:v>Yes</x:v>
      </x:c>
    </x:row>
    <x:row r="39">
      <x:c r="A39" t="str">
        <x:v>DLinear</x:v>
      </x:c>
      <x:c r="B39" t="str">
        <x:v>ETTm1</x:v>
      </x:c>
      <x:c r="C39" t="n">
        <x:v>192</x:v>
      </x:c>
      <x:c r="D39" t="str">
        <x:v>Baseline</x:v>
      </x:c>
      <x:c r="E39" t="str">
        <x:v>COSA-P</x:v>
      </x:c>
      <x:c r="F39" s="4" t="n">
        <x:v>0.43206666666666665</x:v>
      </x:c>
      <x:c r="G39" s="4" t="n">
        <x:v>0.41739726066589355</x:v>
      </x:c>
      <x:c r="H39" s="4" t="n">
        <x:f>IF(OR(F39="",G39=""),"",F39-G39)</x:f>
        <x:v>0.0146694060007731</x:v>
      </x:c>
      <x:c r="I39" s="5" t="n">
        <x:f>IFERROR(H39/F39,"")</x:f>
        <x:v>0.033951718872333975</x:v>
      </x:c>
      <x:c r="J39" t="str">
        <x:f>IF(H39&gt;0,"Yes",IF(H39&lt;0,"No","Tie"))</x:f>
        <x:v>Yes</x:v>
      </x:c>
    </x:row>
    <x:row r="40">
      <x:c r="A40" t="str">
        <x:v>DLinear</x:v>
      </x:c>
      <x:c r="B40" t="str">
        <x:v>ETTm1</x:v>
      </x:c>
      <x:c r="C40" t="n">
        <x:v>336</x:v>
      </x:c>
      <x:c r="D40" t="str">
        <x:v>Baseline</x:v>
      </x:c>
      <x:c r="E40" t="str">
        <x:v>COSA-P</x:v>
      </x:c>
      <x:c r="F40" s="4" t="n">
        <x:v>0.5048666666666667</x:v>
      </x:c>
      <x:c r="G40" s="4" t="n">
        <x:v>0.4979887306690216</x:v>
      </x:c>
      <x:c r="H40" s="4" t="n">
        <x:f>IF(OR(F40="",G40=""),"",F40-G40)</x:f>
        <x:v>0.006877935997645079</x:v>
      </x:c>
      <x:c r="I40" s="5" t="n">
        <x:f>IFERROR(H40/F40,"")</x:f>
        <x:v>0.013623272146398545</x:v>
      </x:c>
      <x:c r="J40" t="str">
        <x:f>IF(H40&gt;0,"Yes",IF(H40&lt;0,"No","Tie"))</x:f>
        <x:v>Yes</x:v>
      </x:c>
    </x:row>
    <x:row r="41">
      <x:c r="A41" t="str">
        <x:v>DLinear</x:v>
      </x:c>
      <x:c r="B41" t="str">
        <x:v>ETTm1</x:v>
      </x:c>
      <x:c r="C41" t="n">
        <x:v>720</x:v>
      </x:c>
      <x:c r="D41" t="str">
        <x:v>Baseline</x:v>
      </x:c>
      <x:c r="E41" t="str">
        <x:v>COSA-P</x:v>
      </x:c>
      <x:c r="F41" s="4" t="n">
        <x:v>0.5797666666666667</x:v>
      </x:c>
      <x:c r="G41" s="4" t="n">
        <x:v>0.5818107724189758</x:v>
      </x:c>
      <x:c r="H41" s="4" t="n">
        <x:f>IF(OR(F41="",G41=""),"",F41-G41)</x:f>
        <x:v>-0.0020441057523091777</x:v>
      </x:c>
      <x:c r="I41" s="5" t="n">
        <x:f>IFERROR(H41/F41,"")</x:f>
        <x:v>-0.003525738663213668</x:v>
      </x:c>
      <x:c r="J41" t="str">
        <x:f>IF(H41&gt;0,"Yes",IF(H41&lt;0,"No","Tie"))</x:f>
        <x:v>No</x:v>
      </x:c>
    </x:row>
    <x:row r="42">
      <x:c r="A42" t="str">
        <x:v>DLinear</x:v>
      </x:c>
      <x:c r="B42" t="str">
        <x:v>ETTm2</x:v>
      </x:c>
      <x:c r="C42" t="n">
        <x:v>96</x:v>
      </x:c>
      <x:c r="D42" t="str">
        <x:v>Baseline</x:v>
      </x:c>
      <x:c r="E42" t="str">
        <x:v>COSA-P</x:v>
      </x:c>
      <x:c r="F42" s="4" t="n">
        <x:v>0.1211</x:v>
      </x:c>
      <x:c r="G42" s="4" t="n">
        <x:v>0.12170587480068207</x:v>
      </x:c>
      <x:c r="H42" s="4" t="n">
        <x:f>IF(OR(F42="",G42=""),"",F42-G42)</x:f>
        <x:v>-0.0006058748006820686</x:v>
      </x:c>
      <x:c r="I42" s="5" t="n">
        <x:f>IFERROR(H42/F42,"")</x:f>
        <x:v>-0.005003094968472903</x:v>
      </x:c>
      <x:c r="J42" t="str">
        <x:f>IF(H42&gt;0,"Yes",IF(H42&lt;0,"No","Tie"))</x:f>
        <x:v>No</x:v>
      </x:c>
    </x:row>
    <x:row r="43">
      <x:c r="A43" t="str">
        <x:v>DLinear</x:v>
      </x:c>
      <x:c r="B43" t="str">
        <x:v>ETTm2</x:v>
      </x:c>
      <x:c r="C43" t="n">
        <x:v>192</x:v>
      </x:c>
      <x:c r="D43" t="str">
        <x:v>Baseline</x:v>
      </x:c>
      <x:c r="E43" t="str">
        <x:v>COSA-P</x:v>
      </x:c>
      <x:c r="F43" s="4" t="n">
        <x:v>0.14923333333333333</x:v>
      </x:c>
      <x:c r="G43" s="4" t="n">
        <x:v>0.15435341745615005</x:v>
      </x:c>
      <x:c r="H43" s="4" t="n">
        <x:f>IF(OR(F43="",G43=""),"",F43-G43)</x:f>
        <x:v>-0.005120084122816726</x:v>
      </x:c>
      <x:c r="I43" s="5" t="n">
        <x:f>IFERROR(H43/F43,"")</x:f>
        <x:v>-0.034309252554054454</x:v>
      </x:c>
      <x:c r="J43" t="str">
        <x:f>IF(H43&gt;0,"Yes",IF(H43&lt;0,"No","Tie"))</x:f>
        <x:v>No</x:v>
      </x:c>
    </x:row>
    <x:row r="44">
      <x:c r="A44" t="str">
        <x:v>DLinear</x:v>
      </x:c>
      <x:c r="B44" t="str">
        <x:v>ETTm2</x:v>
      </x:c>
      <x:c r="C44" t="n">
        <x:v>336</x:v>
      </x:c>
      <x:c r="D44" t="str">
        <x:v>Baseline</x:v>
      </x:c>
      <x:c r="E44" t="str">
        <x:v>COSA-P</x:v>
      </x:c>
      <x:c r="F44" s="4" t="n">
        <x:v>0.1827</x:v>
      </x:c>
      <x:c r="G44" s="4" t="n">
        <x:v>0.19229884445667267</x:v>
      </x:c>
      <x:c r="H44" s="4" t="n">
        <x:f>IF(OR(F44="",G44=""),"",F44-G44)</x:f>
        <x:v>-0.009598844456672667</x:v>
      </x:c>
      <x:c r="I44" s="5" t="n">
        <x:f>IFERROR(H44/F44,"")</x:f>
        <x:v>-0.052538831180474366</x:v>
      </x:c>
      <x:c r="J44" t="str">
        <x:f>IF(H44&gt;0,"Yes",IF(H44&lt;0,"No","Tie"))</x:f>
        <x:v>No</x:v>
      </x:c>
    </x:row>
    <x:row r="45">
      <x:c r="A45" t="str">
        <x:v>DLinear</x:v>
      </x:c>
      <x:c r="B45" t="str">
        <x:v>ETTm2</x:v>
      </x:c>
      <x:c r="C45" t="n">
        <x:v>720</x:v>
      </x:c>
      <x:c r="D45" t="str">
        <x:v>Baseline</x:v>
      </x:c>
      <x:c r="E45" t="str">
        <x:v>COSA-P</x:v>
      </x:c>
      <x:c r="F45" s="4" t="n">
        <x:v>0.24096666666666666</x:v>
      </x:c>
      <x:c r="G45" s="4" t="n">
        <x:v>0.2480584904551506</x:v>
      </x:c>
      <x:c r="H45" s="4" t="n">
        <x:f>IF(OR(F45="",G45=""),"",F45-G45)</x:f>
        <x:v>-0.007091823788483942</x:v>
      </x:c>
      <x:c r="I45" s="5" t="n">
        <x:f>IFERROR(H45/F45,"")</x:f>
        <x:v>-0.02943072536374578</x:v>
      </x:c>
      <x:c r="J45" t="str">
        <x:f>IF(H45&gt;0,"Yes",IF(H45&lt;0,"No","Tie"))</x:f>
        <x:v>No</x:v>
      </x:c>
    </x:row>
    <x:row r="46">
      <x:c r="A46" t="str">
        <x:v>DLinear</x:v>
      </x:c>
      <x:c r="B46" t="str">
        <x:v>Exchange Rate</x:v>
      </x:c>
      <x:c r="C46" t="n">
        <x:v>96</x:v>
      </x:c>
      <x:c r="D46" t="str">
        <x:v>Baseline</x:v>
      </x:c>
      <x:c r="E46" t="str">
        <x:v>COSA-P</x:v>
      </x:c>
      <x:c r="F46" s="4" t="n">
        <x:v>0.0862</x:v>
      </x:c>
      <x:c r="G46" s="4" t="n">
        <x:v>0.08251798897981644</x:v>
      </x:c>
      <x:c r="H46" s="4" t="n">
        <x:f>IF(OR(F46="",G46=""),"",F46-G46)</x:f>
        <x:v>0.003682011020183562</x:v>
      </x:c>
      <x:c r="I46" s="5" t="n">
        <x:f>IFERROR(H46/F46,"")</x:f>
        <x:v>0.04271474501373042</x:v>
      </x:c>
      <x:c r="J46" t="str">
        <x:f>IF(H46&gt;0,"Yes",IF(H46&lt;0,"No","Tie"))</x:f>
        <x:v>Yes</x:v>
      </x:c>
    </x:row>
    <x:row r="47">
      <x:c r="A47" t="str">
        <x:v>DLinear</x:v>
      </x:c>
      <x:c r="B47" t="str">
        <x:v>Exchange Rate</x:v>
      </x:c>
      <x:c r="C47" t="n">
        <x:v>192</x:v>
      </x:c>
      <x:c r="D47" t="str">
        <x:v>Baseline</x:v>
      </x:c>
      <x:c r="E47" t="str">
        <x:v>COSA-P</x:v>
      </x:c>
      <x:c r="F47" s="4" t="n">
        <x:v>0.17656666666666665</x:v>
      </x:c>
      <x:c r="G47" s="4" t="n">
        <x:v>0.16179503500461578</x:v>
      </x:c>
      <x:c r="H47" s="4" t="n">
        <x:f>IF(OR(F47="",G47=""),"",F47-G47)</x:f>
        <x:v>0.014771631662050866</x:v>
      </x:c>
      <x:c r="I47" s="5" t="n">
        <x:f>IFERROR(H47/F47,"")</x:f>
        <x:v>0.08366036433104135</x:v>
      </x:c>
      <x:c r="J47" t="str">
        <x:f>IF(H47&gt;0,"Yes",IF(H47&lt;0,"No","Tie"))</x:f>
        <x:v>Yes</x:v>
      </x:c>
    </x:row>
    <x:row r="48">
      <x:c r="A48" t="str">
        <x:v>DLinear</x:v>
      </x:c>
      <x:c r="B48" t="str">
        <x:v>Exchange Rate</x:v>
      </x:c>
      <x:c r="C48" t="n">
        <x:v>336</x:v>
      </x:c>
      <x:c r="D48" t="str">
        <x:v>Baseline</x:v>
      </x:c>
      <x:c r="E48" t="str">
        <x:v>COSA-P</x:v>
      </x:c>
      <x:c r="F48" s="4" t="n">
        <x:v>0.32193333333333335</x:v>
      </x:c>
      <x:c r="G48" s="4" t="n">
        <x:v>0.276396244764328</x:v>
      </x:c>
      <x:c r="H48" s="4" t="n">
        <x:f>IF(OR(F48="",G48=""),"",F48-G48)</x:f>
        <x:v>0.045537088569005346</x:v>
      </x:c>
      <x:c r="I48" s="5" t="n">
        <x:f>IFERROR(H48/F48,"")</x:f>
        <x:v>0.1414488151863906</x:v>
      </x:c>
      <x:c r="J48" t="str">
        <x:f>IF(H48&gt;0,"Yes",IF(H48&lt;0,"No","Tie"))</x:f>
        <x:v>Yes</x:v>
      </x:c>
    </x:row>
    <x:row r="49">
      <x:c r="A49" t="str">
        <x:v>DLinear</x:v>
      </x:c>
      <x:c r="B49" t="str">
        <x:v>Exchange Rate</x:v>
      </x:c>
      <x:c r="C49" t="n">
        <x:v>720</x:v>
      </x:c>
      <x:c r="D49" t="str">
        <x:v>Baseline</x:v>
      </x:c>
      <x:c r="E49" t="str">
        <x:v>COSA-P</x:v>
      </x:c>
      <x:c r="F49" s="4" t="n">
        <x:v>0.8387</x:v>
      </x:c>
      <x:c r="G49" s="4" t="n">
        <x:v>0.49323973059654236</x:v>
      </x:c>
      <x:c r="H49" s="4" t="n">
        <x:f>IF(OR(F49="",G49=""),"",F49-G49)</x:f>
        <x:v>0.34546026940345764</x:v>
      </x:c>
      <x:c r="I49" s="5" t="n">
        <x:f>IFERROR(H49/F49,"")</x:f>
        <x:v>0.4118996892851528</x:v>
      </x:c>
      <x:c r="J49" t="str">
        <x:f>IF(H49&gt;0,"Yes",IF(H49&lt;0,"No","Tie"))</x:f>
        <x:v>Yes</x:v>
      </x:c>
    </x:row>
    <x:row r="50">
      <x:c r="A50" t="str">
        <x:v>DLinear</x:v>
      </x:c>
      <x:c r="B50" t="str">
        <x:v>weather</x:v>
      </x:c>
      <x:c r="C50" t="n">
        <x:v>96</x:v>
      </x:c>
      <x:c r="D50" t="str">
        <x:v>Baseline</x:v>
      </x:c>
      <x:c r="E50" t="str">
        <x:v>COSA-P</x:v>
      </x:c>
      <x:c r="F50" s="4" t="n">
        <x:v>0.19523333333333334</x:v>
      </x:c>
      <x:c r="G50" s="4" t="n">
        <x:v>0.18809332698583603</x:v>
      </x:c>
      <x:c r="H50" s="4" t="n">
        <x:f>IF(OR(F50="",G50=""),"",F50-G50)</x:f>
        <x:v>0.007140006347497313</x:v>
      </x:c>
      <x:c r="I50" s="5" t="n">
        <x:f>IFERROR(H50/F50,"")</x:f>
        <x:v>0.03657165621050357</x:v>
      </x:c>
      <x:c r="J50" t="str">
        <x:f>IF(H50&gt;0,"Yes",IF(H50&lt;0,"No","Tie"))</x:f>
        <x:v>Yes</x:v>
      </x:c>
    </x:row>
    <x:row r="51">
      <x:c r="A51" t="str">
        <x:v>DLinear</x:v>
      </x:c>
      <x:c r="B51" t="str">
        <x:v>weather</x:v>
      </x:c>
      <x:c r="C51" t="n">
        <x:v>192</x:v>
      </x:c>
      <x:c r="D51" t="str">
        <x:v>Baseline</x:v>
      </x:c>
      <x:c r="E51" t="str">
        <x:v>COSA-P</x:v>
      </x:c>
      <x:c r="F51" s="4" t="n">
        <x:v>0.24016666666666667</x:v>
      </x:c>
      <x:c r="G51" s="4" t="n">
        <x:v>0.24226956814527512</x:v>
      </x:c>
      <x:c r="H51" s="4" t="n">
        <x:f>IF(OR(F51="",G51=""),"",F51-G51)</x:f>
        <x:v>-0.0021029014786084488</x:v>
      </x:c>
      <x:c r="I51" s="5" t="n">
        <x:f>IFERROR(H51/F51,"")</x:f>
        <x:v>-0.00875600893244323</x:v>
      </x:c>
      <x:c r="J51" t="str">
        <x:f>IF(H51&gt;0,"Yes",IF(H51&lt;0,"No","Tie"))</x:f>
        <x:v>No</x:v>
      </x:c>
    </x:row>
    <x:row r="52">
      <x:c r="A52" t="str">
        <x:v>DLinear</x:v>
      </x:c>
      <x:c r="B52" t="str">
        <x:v>weather</x:v>
      </x:c>
      <x:c r="C52" t="n">
        <x:v>336</x:v>
      </x:c>
      <x:c r="D52" t="str">
        <x:v>Baseline</x:v>
      </x:c>
      <x:c r="E52" t="str">
        <x:v>COSA-P</x:v>
      </x:c>
      <x:c r="F52" s="4" t="n">
        <x:v>0.2917666666666667</x:v>
      </x:c>
      <x:c r="G52" s="4" t="n">
        <x:v>0.3494512736797333</x:v>
      </x:c>
      <x:c r="H52" s="4" t="n">
        <x:f>IF(OR(F52="",G52=""),"",F52-G52)</x:f>
        <x:v>-0.0576846070130666</x:v>
      </x:c>
      <x:c r="I52" s="5" t="n">
        <x:f>IFERROR(H52/F52,"")</x:f>
        <x:v>-0.1977080098699872</x:v>
      </x:c>
      <x:c r="J52" t="str">
        <x:f>IF(H52&gt;0,"Yes",IF(H52&lt;0,"No","Tie"))</x:f>
        <x:v>No</x:v>
      </x:c>
    </x:row>
    <x:row r="53">
      <x:c r="A53" t="str">
        <x:v>DLinear</x:v>
      </x:c>
      <x:c r="B53" t="str">
        <x:v>weather</x:v>
      </x:c>
      <x:c r="C53" t="n">
        <x:v>720</x:v>
      </x:c>
      <x:c r="D53" t="str">
        <x:v>Baseline</x:v>
      </x:c>
      <x:c r="E53" t="str">
        <x:v>COSA-P</x:v>
      </x:c>
      <x:c r="F53" s="4" t="n">
        <x:v>0.36433333333333334</x:v>
      </x:c>
      <x:c r="G53" s="4" t="n">
        <x:v>0.372201532125473</x:v>
      </x:c>
      <x:c r="H53" s="4" t="n">
        <x:f>IF(OR(F53="",G53=""),"",F53-G53)</x:f>
        <x:v>-0.00786819879213968</x:v>
      </x:c>
      <x:c r="I53" s="5" t="n">
        <x:f>IFERROR(H53/F53,"")</x:f>
        <x:v>-0.02159615404978869</x:v>
      </x:c>
      <x:c r="J53" t="str">
        <x:f>IF(H53&gt;0,"Yes",IF(H53&lt;0,"No","Tie"))</x:f>
        <x:v>No</x:v>
      </x:c>
    </x:row>
    <x:row r="54">
      <x:c r="A54" t="str">
        <x:v>DLinear</x:v>
      </x:c>
      <x:c r="B54" t="str">
        <x:v>electricity</x:v>
      </x:c>
      <x:c r="C54" t="n">
        <x:v>96</x:v>
      </x:c>
      <x:c r="D54" t="str">
        <x:v>Baseline</x:v>
      </x:c>
      <x:c r="E54" t="str">
        <x:v>COSA-P</x:v>
      </x:c>
      <x:c r="F54" s="4" t="n">
        <x:v>0.2078</x:v>
      </x:c>
      <x:c r="G54" s="4" t="n">
        <x:v>0.2072960982720057</x:v>
      </x:c>
      <x:c r="H54" s="4" t="n">
        <x:f>IF(OR(F54="",G54=""),"",F54-G54)</x:f>
        <x:v>0.0005039017279943048</x:v>
      </x:c>
      <x:c r="I54" s="5" t="n">
        <x:f>IFERROR(H54/F54,"")</x:f>
        <x:v>0.0024249361308676842</x:v>
      </x:c>
      <x:c r="J54" t="str">
        <x:f>IF(H54&gt;0,"Yes",IF(H54&lt;0,"No","Tie"))</x:f>
        <x:v>Yes</x:v>
      </x:c>
    </x:row>
    <x:row r="55">
      <x:c r="A55" t="str">
        <x:v>DLinear</x:v>
      </x:c>
      <x:c r="B55" t="str">
        <x:v>electricity</x:v>
      </x:c>
      <x:c r="C55" t="n">
        <x:v>192</x:v>
      </x:c>
      <x:c r="D55" t="str">
        <x:v>Baseline</x:v>
      </x:c>
      <x:c r="E55" t="str">
        <x:v>COSA-P</x:v>
      </x:c>
      <x:c r="F55" s="4" t="n">
        <x:v>0.2081</x:v>
      </x:c>
      <x:c r="G55" s="4" t="n">
        <x:v>0.20497173070907593</x:v>
      </x:c>
      <x:c r="H55" s="4" t="n">
        <x:f>IF(OR(F55="",G55=""),"",F55-G55)</x:f>
        <x:v>0.0031282692909240795</x:v>
      </x:c>
      <x:c r="I55" s="5" t="n">
        <x:f>IFERROR(H55/F55,"")</x:f>
        <x:v>0.015032529028948003</x:v>
      </x:c>
      <x:c r="J55" t="str">
        <x:f>IF(H55&gt;0,"Yes",IF(H55&lt;0,"No","Tie"))</x:f>
        <x:v>Yes</x:v>
      </x:c>
    </x:row>
    <x:row r="56">
      <x:c r="A56" t="str">
        <x:v>DLinear</x:v>
      </x:c>
      <x:c r="B56" t="str">
        <x:v>electricity</x:v>
      </x:c>
      <x:c r="C56" t="n">
        <x:v>336</x:v>
      </x:c>
      <x:c r="D56" t="str">
        <x:v>Baseline</x:v>
      </x:c>
      <x:c r="E56" t="str">
        <x:v>COSA-P</x:v>
      </x:c>
      <x:c r="F56" s="4" t="n">
        <x:v>0.2228</x:v>
      </x:c>
      <x:c r="G56" s="4" t="n">
        <x:v>0.2121786574522654</x:v>
      </x:c>
      <x:c r="H56" s="4" t="n">
        <x:f>IF(OR(F56="",G56=""),"",F56-G56)</x:f>
        <x:v>0.010621342547734586</x:v>
      </x:c>
      <x:c r="I56" s="5" t="n">
        <x:f>IFERROR(H56/F56,"")</x:f>
        <x:v>0.04767209402035272</x:v>
      </x:c>
      <x:c r="J56" t="str">
        <x:f>IF(H56&gt;0,"Yes",IF(H56&lt;0,"No","Tie"))</x:f>
        <x:v>Yes</x:v>
      </x:c>
    </x:row>
    <x:row r="57">
      <x:c r="A57" t="str">
        <x:v>DLinear</x:v>
      </x:c>
      <x:c r="B57" t="str">
        <x:v>electricity</x:v>
      </x:c>
      <x:c r="C57" t="n">
        <x:v>720</x:v>
      </x:c>
      <x:c r="D57" t="str">
        <x:v>Baseline</x:v>
      </x:c>
      <x:c r="E57" t="str">
        <x:v>COSA-P</x:v>
      </x:c>
      <x:c r="F57" s="4" t="n">
        <x:v>0.2644</x:v>
      </x:c>
      <x:c r="G57" s="4" t="n">
        <x:v>0.23733621339003244</x:v>
      </x:c>
      <x:c r="H57" s="4" t="n">
        <x:f>IF(OR(F57="",G57=""),"",F57-G57)</x:f>
        <x:v>0.027063786609967583</x:v>
      </x:c>
      <x:c r="I57" s="5" t="n">
        <x:f>IFERROR(H57/F57,"")</x:f>
        <x:v>0.1023592534416323</x:v>
      </x:c>
      <x:c r="J57" t="str">
        <x:f>IF(H57&gt;0,"Yes",IF(H57&lt;0,"No","Tie"))</x:f>
        <x:v>Yes</x:v>
      </x:c>
    </x:row>
    <x:row r="58">
      <x:c r="A58" t="str">
        <x:v>DLinear</x:v>
      </x:c>
      <x:c r="B58" t="str">
        <x:v>traffic</x:v>
      </x:c>
      <x:c r="C58" t="n">
        <x:v>96</x:v>
      </x:c>
      <x:c r="D58" t="str">
        <x:v>Baseline</x:v>
      </x:c>
      <x:c r="E58" t="str">
        <x:v>COSA-P</x:v>
      </x:c>
      <x:c r="F58" s="4" t="n">
        <x:v>0.6709666666666667</x:v>
      </x:c>
      <x:c r="G58" s="4" t="n">
        <x:v>0.6713042855262756</x:v>
      </x:c>
      <x:c r="H58" s="4" t="n">
        <x:f>IF(OR(F58="",G58=""),"",F58-G58)</x:f>
        <x:v>-0.00033761885960892357</x:v>
      </x:c>
      <x:c r="I58" s="5" t="n">
        <x:f>IFERROR(H58/F58,"")</x:f>
        <x:v>-0.0005031827606074671</x:v>
      </x:c>
      <x:c r="J58" t="str">
        <x:f>IF(H58&gt;0,"Yes",IF(H58&lt;0,"No","Tie"))</x:f>
        <x:v>No</x:v>
      </x:c>
    </x:row>
    <x:row r="59">
      <x:c r="A59" t="str">
        <x:v>DLinear</x:v>
      </x:c>
      <x:c r="B59" t="str">
        <x:v>traffic</x:v>
      </x:c>
      <x:c r="C59" t="n">
        <x:v>192</x:v>
      </x:c>
      <x:c r="D59" t="str">
        <x:v>Baseline</x:v>
      </x:c>
      <x:c r="E59" t="str">
        <x:v>COSA-P</x:v>
      </x:c>
      <x:c r="F59" s="4" t="n">
        <x:v>0.6251666666666666</x:v>
      </x:c>
      <x:c r="G59" s="4" t="n">
        <x:v>0.6235871911048889</x:v>
      </x:c>
      <x:c r="H59" s="4" t="n">
        <x:f>IF(OR(F59="",G59=""),"",F59-G59)</x:f>
        <x:v>0.0015794755617777323</x:v>
      </x:c>
      <x:c r="I59" s="5" t="n">
        <x:f>IFERROR(H59/F59,"")</x:f>
        <x:v>0.0025264871689326565</x:v>
      </x:c>
      <x:c r="J59" t="str">
        <x:f>IF(H59&gt;0,"Yes",IF(H59&lt;0,"No","Tie"))</x:f>
        <x:v>Yes</x:v>
      </x:c>
    </x:row>
    <x:row r="60">
      <x:c r="A60" t="str">
        <x:v>DLinear</x:v>
      </x:c>
      <x:c r="B60" t="str">
        <x:v>traffic</x:v>
      </x:c>
      <x:c r="C60" t="n">
        <x:v>336</x:v>
      </x:c>
      <x:c r="D60" t="str">
        <x:v>Baseline</x:v>
      </x:c>
      <x:c r="E60" t="str">
        <x:v>COSA-P</x:v>
      </x:c>
      <x:c r="F60" s="4" t="n">
        <x:v>0.6328</x:v>
      </x:c>
      <x:c r="G60" s="4" t="n">
        <x:v>0.6255009174346924</x:v>
      </x:c>
      <x:c r="H60" s="4" t="n">
        <x:f>IF(OR(F60="",G60=""),"",F60-G60)</x:f>
        <x:v>0.007299082565307646</x:v>
      </x:c>
      <x:c r="I60" s="5" t="n">
        <x:f>IFERROR(H60/F60,"")</x:f>
        <x:v>0.011534580539361008</x:v>
      </x:c>
      <x:c r="J60" t="str">
        <x:f>IF(H60&gt;0,"Yes",IF(H60&lt;0,"No","Tie"))</x:f>
        <x:v>Yes</x:v>
      </x:c>
    </x:row>
    <x:row r="61">
      <x:c r="A61" t="str">
        <x:v>DLinear</x:v>
      </x:c>
      <x:c r="B61" t="str">
        <x:v>traffic</x:v>
      </x:c>
      <x:c r="C61" t="n">
        <x:v>720</x:v>
      </x:c>
      <x:c r="D61" t="str">
        <x:v>Baseline</x:v>
      </x:c>
      <x:c r="E61" t="str">
        <x:v>COSA-P</x:v>
      </x:c>
      <x:c r="F61" s="4" t="n">
        <x:v>0.6717</x:v>
      </x:c>
      <x:c r="G61" s="4" t="n">
        <x:v>0.6572381854057312</x:v>
      </x:c>
      <x:c r="H61" s="4" t="n">
        <x:f>IF(OR(F61="",G61=""),"",F61-G61)</x:f>
        <x:v>0.014461814594268763</x:v>
      </x:c>
      <x:c r="I61" s="5" t="n">
        <x:f>IFERROR(H61/F61,"")</x:f>
        <x:v>0.021530169114588004</x:v>
      </x:c>
      <x:c r="J61" t="str">
        <x:f>IF(H61&gt;0,"Yes",IF(H61&lt;0,"No","Tie"))</x:f>
        <x:v>Yes</x:v>
      </x:c>
    </x:row>
    <x:row r="62">
      <x:c r="A62" t="str">
        <x:v>FreTS</x:v>
      </x:c>
      <x:c r="B62" t="str">
        <x:v>ETTh1</x:v>
      </x:c>
      <x:c r="C62" t="n">
        <x:v>96</x:v>
      </x:c>
      <x:c r="D62" t="str">
        <x:v>Baseline</x:v>
      </x:c>
      <x:c r="E62" t="str">
        <x:v>COSA-P</x:v>
      </x:c>
      <x:c r="F62" s="4" t="n">
        <x:v>0.4346333333333333</x:v>
      </x:c>
      <x:c r="G62" s="4" t="n">
        <x:v>0.4383009821176529</x:v>
      </x:c>
      <x:c r="H62" s="4" t="n">
        <x:f>IF(OR(F62="",G62=""),"",F62-G62)</x:f>
        <x:v>-0.003667648784319577</x:v>
      </x:c>
      <x:c r="I62" s="5" t="n">
        <x:f>IFERROR(H62/F62,"")</x:f>
        <x:v>-0.008438489418635425</x:v>
      </x:c>
      <x:c r="J62" t="str">
        <x:f>IF(H62&gt;0,"Yes",IF(H62&lt;0,"No","Tie"))</x:f>
        <x:v>No</x:v>
      </x:c>
    </x:row>
    <x:row r="63">
      <x:c r="A63" t="str">
        <x:v>FreTS</x:v>
      </x:c>
      <x:c r="B63" t="str">
        <x:v>ETTh1</x:v>
      </x:c>
      <x:c r="C63" t="n">
        <x:v>192</x:v>
      </x:c>
      <x:c r="D63" t="str">
        <x:v>Baseline</x:v>
      </x:c>
      <x:c r="E63" t="str">
        <x:v>COSA-P</x:v>
      </x:c>
      <x:c r="F63" s="4" t="n">
        <x:v>0.4928</x:v>
      </x:c>
      <x:c r="G63" s="4" t="n">
        <x:v>0.5107154250144958</x:v>
      </x:c>
      <x:c r="H63" s="4" t="n">
        <x:f>IF(OR(F63="",G63=""),"",F63-G63)</x:f>
        <x:v>-0.017915425014495834</x:v>
      </x:c>
      <x:c r="I63" s="5" t="n">
        <x:f>IFERROR(H63/F63,"")</x:f>
        <x:v>-0.036354352707986676</x:v>
      </x:c>
      <x:c r="J63" t="str">
        <x:f>IF(H63&gt;0,"Yes",IF(H63&lt;0,"No","Tie"))</x:f>
        <x:v>No</x:v>
      </x:c>
    </x:row>
    <x:row r="64">
      <x:c r="A64" t="str">
        <x:v>FreTS</x:v>
      </x:c>
      <x:c r="B64" t="str">
        <x:v>ETTh1</x:v>
      </x:c>
      <x:c r="C64" t="n">
        <x:v>336</x:v>
      </x:c>
      <x:c r="D64" t="str">
        <x:v>Baseline</x:v>
      </x:c>
      <x:c r="E64" t="str">
        <x:v>COSA-P</x:v>
      </x:c>
      <x:c r="F64" s="4" t="n">
        <x:v>0.5451</x:v>
      </x:c>
      <x:c r="G64" s="4" t="n">
        <x:v>0.5245907604694366</x:v>
      </x:c>
      <x:c r="H64" s="4" t="n">
        <x:f>IF(OR(F64="",G64=""),"",F64-G64)</x:f>
        <x:v>0.020509239530563383</x:v>
      </x:c>
      <x:c r="I64" s="5" t="n">
        <x:f>IFERROR(H64/F64,"")</x:f>
        <x:v>0.0376247285462546</x:v>
      </x:c>
      <x:c r="J64" t="str">
        <x:f>IF(H64&gt;0,"Yes",IF(H64&lt;0,"No","Tie"))</x:f>
        <x:v>Yes</x:v>
      </x:c>
    </x:row>
    <x:row r="65">
      <x:c r="A65" t="str">
        <x:v>FreTS</x:v>
      </x:c>
      <x:c r="B65" t="str">
        <x:v>ETTh1</x:v>
      </x:c>
      <x:c r="C65" t="n">
        <x:v>720</x:v>
      </x:c>
      <x:c r="D65" t="str">
        <x:v>Baseline</x:v>
      </x:c>
      <x:c r="E65" t="str">
        <x:v>COSA-P</x:v>
      </x:c>
      <x:c r="F65" s="4" t="n">
        <x:v>0.7158666666666667</x:v>
      </x:c>
      <x:c r="G65" s="4" t="n">
        <x:v>0.5884842276573181</x:v>
      </x:c>
      <x:c r="H65" s="4" t="n">
        <x:f>IF(OR(F65="",G65=""),"",F65-G65)</x:f>
        <x:v>0.12738243900934854</x:v>
      </x:c>
      <x:c r="I65" s="5" t="n">
        <x:f>IFERROR(H65/F65,"")</x:f>
        <x:v>0.17794157060348556</x:v>
      </x:c>
      <x:c r="J65" t="str">
        <x:f>IF(H65&gt;0,"Yes",IF(H65&lt;0,"No","Tie"))</x:f>
        <x:v>Yes</x:v>
      </x:c>
    </x:row>
    <x:row r="66">
      <x:c r="A66" t="str">
        <x:v>FreTS</x:v>
      </x:c>
      <x:c r="B66" t="str">
        <x:v>ETTh2</x:v>
      </x:c>
      <x:c r="C66" t="n">
        <x:v>96</x:v>
      </x:c>
      <x:c r="D66" t="str">
        <x:v>Baseline</x:v>
      </x:c>
      <x:c r="E66" t="str">
        <x:v>COSA-P</x:v>
      </x:c>
      <x:c r="F66" s="4" t="n">
        <x:v>0.1845</x:v>
      </x:c>
      <x:c r="G66" s="4" t="n">
        <x:v>0.18290401995182037</x:v>
      </x:c>
      <x:c r="H66" s="4" t="n">
        <x:f>IF(OR(F66="",G66=""),"",F66-G66)</x:f>
        <x:v>0.0015959800481796238</x:v>
      </x:c>
      <x:c r="I66" s="5" t="n">
        <x:f>IFERROR(H66/F66,"")</x:f>
        <x:v>0.008650298364117202</x:v>
      </x:c>
      <x:c r="J66" t="str">
        <x:f>IF(H66&gt;0,"Yes",IF(H66&lt;0,"No","Tie"))</x:f>
        <x:v>Yes</x:v>
      </x:c>
    </x:row>
    <x:row r="67">
      <x:c r="A67" t="str">
        <x:v>FreTS</x:v>
      </x:c>
      <x:c r="B67" t="str">
        <x:v>ETTh2</x:v>
      </x:c>
      <x:c r="C67" t="n">
        <x:v>192</x:v>
      </x:c>
      <x:c r="D67" t="str">
        <x:v>Baseline</x:v>
      </x:c>
      <x:c r="E67" t="str">
        <x:v>COSA-P</x:v>
      </x:c>
      <x:c r="F67" s="4" t="n">
        <x:v>0.22396666666666668</x:v>
      </x:c>
      <x:c r="G67" s="4" t="n">
        <x:v>0.22984886169433594</x:v>
      </x:c>
      <x:c r="H67" s="4" t="n">
        <x:f>IF(OR(F67="",G67=""),"",F67-G67)</x:f>
        <x:v>-0.0058821950276692625</x:v>
      </x:c>
      <x:c r="I67" s="5" t="n">
        <x:f>IFERROR(H67/F67,"")</x:f>
        <x:v>-0.026263707520475944</x:v>
      </x:c>
      <x:c r="J67" t="str">
        <x:f>IF(H67&gt;0,"Yes",IF(H67&lt;0,"No","Tie"))</x:f>
        <x:v>No</x:v>
      </x:c>
    </x:row>
    <x:row r="68">
      <x:c r="A68" t="str">
        <x:v>FreTS</x:v>
      </x:c>
      <x:c r="B68" t="str">
        <x:v>ETTh2</x:v>
      </x:c>
      <x:c r="C68" t="n">
        <x:v>336</x:v>
      </x:c>
      <x:c r="D68" t="str">
        <x:v>Baseline</x:v>
      </x:c>
      <x:c r="E68" t="str">
        <x:v>COSA-P</x:v>
      </x:c>
      <x:c r="F68" s="4" t="n">
        <x:v>0.2554</x:v>
      </x:c>
      <x:c r="G68" s="4" t="n">
        <x:v>0.2581198662519455</x:v>
      </x:c>
      <x:c r="H68" s="4" t="n">
        <x:f>IF(OR(F68="",G68=""),"",F68-G68)</x:f>
        <x:v>-0.0027198662519454797</x:v>
      </x:c>
      <x:c r="I68" s="5" t="n">
        <x:f>IFERROR(H68/F68,"")</x:f>
        <x:v>-0.010649437165017539</x:v>
      </x:c>
      <x:c r="J68" t="str">
        <x:f>IF(H68&gt;0,"Yes",IF(H68&lt;0,"No","Tie"))</x:f>
        <x:v>No</x:v>
      </x:c>
    </x:row>
    <x:row r="69">
      <x:c r="A69" t="str">
        <x:v>FreTS</x:v>
      </x:c>
      <x:c r="B69" t="str">
        <x:v>ETTh2</x:v>
      </x:c>
      <x:c r="C69" t="n">
        <x:v>720</x:v>
      </x:c>
      <x:c r="D69" t="str">
        <x:v>Baseline</x:v>
      </x:c>
      <x:c r="E69" t="str">
        <x:v>COSA-P</x:v>
      </x:c>
      <x:c r="F69" s="4" t="n">
        <x:v>0.3243333333333333</x:v>
      </x:c>
      <x:c r="G69" s="4" t="n">
        <x:v>0.2757241278886795</x:v>
      </x:c>
      <x:c r="H69" s="4" t="n">
        <x:f>IF(OR(F69="",G69=""),"",F69-G69)</x:f>
        <x:v>0.0486092054446538</x:v>
      </x:c>
      <x:c r="I69" s="5" t="n">
        <x:f>IFERROR(H69/F69,"")</x:f>
        <x:v>0.14987422028156364</x:v>
      </x:c>
      <x:c r="J69" t="str">
        <x:f>IF(H69&gt;0,"Yes",IF(H69&lt;0,"No","Tie"))</x:f>
        <x:v>Yes</x:v>
      </x:c>
    </x:row>
    <x:row r="70">
      <x:c r="A70" t="str">
        <x:v>FreTS</x:v>
      </x:c>
      <x:c r="B70" t="str">
        <x:v>ETTm1</x:v>
      </x:c>
      <x:c r="C70" t="n">
        <x:v>96</x:v>
      </x:c>
      <x:c r="D70" t="str">
        <x:v>Baseline</x:v>
      </x:c>
      <x:c r="E70" t="str">
        <x:v>COSA-P</x:v>
      </x:c>
      <x:c r="F70" s="4" t="n">
        <x:v>0.3616</x:v>
      </x:c>
      <x:c r="G70" s="4" t="n">
        <x:v>0.3519553244113922</x:v>
      </x:c>
      <x:c r="H70" s="4" t="n">
        <x:f>IF(OR(F70="",G70=""),"",F70-G70)</x:f>
        <x:v>0.009644675588607765</x:v>
      </x:c>
      <x:c r="I70" s="5" t="n">
        <x:f>IFERROR(H70/F70,"")</x:f>
        <x:v>0.02667222231362767</x:v>
      </x:c>
      <x:c r="J70" t="str">
        <x:f>IF(H70&gt;0,"Yes",IF(H70&lt;0,"No","Tie"))</x:f>
        <x:v>Yes</x:v>
      </x:c>
    </x:row>
    <x:row r="71">
      <x:c r="A71" t="str">
        <x:v>FreTS</x:v>
      </x:c>
      <x:c r="B71" t="str">
        <x:v>ETTm1</x:v>
      </x:c>
      <x:c r="C71" t="n">
        <x:v>192</x:v>
      </x:c>
      <x:c r="D71" t="str">
        <x:v>Baseline</x:v>
      </x:c>
      <x:c r="E71" t="str">
        <x:v>COSA-P</x:v>
      </x:c>
      <x:c r="F71" s="4" t="n">
        <x:v>0.4218</x:v>
      </x:c>
      <x:c r="G71" s="4" t="n">
        <x:v>0.417897030711174</x:v>
      </x:c>
      <x:c r="H71" s="4" t="n">
        <x:f>IF(OR(F71="",G71=""),"",F71-G71)</x:f>
        <x:v>0.003902969288825997</x:v>
      </x:c>
      <x:c r="I71" s="5" t="n">
        <x:f>IFERROR(H71/F71,"")</x:f>
        <x:v>0.009253127759189182</x:v>
      </x:c>
      <x:c r="J71" t="str">
        <x:f>IF(H71&gt;0,"Yes",IF(H71&lt;0,"No","Tie"))</x:f>
        <x:v>Yes</x:v>
      </x:c>
    </x:row>
    <x:row r="72">
      <x:c r="A72" t="str">
        <x:v>FreTS</x:v>
      </x:c>
      <x:c r="B72" t="str">
        <x:v>ETTm1</x:v>
      </x:c>
      <x:c r="C72" t="n">
        <x:v>336</x:v>
      </x:c>
      <x:c r="D72" t="str">
        <x:v>Baseline</x:v>
      </x:c>
      <x:c r="E72" t="str">
        <x:v>COSA-P</x:v>
      </x:c>
      <x:c r="F72" s="4" t="n">
        <x:v>0.4863</x:v>
      </x:c>
      <x:c r="G72" s="4" t="n">
        <x:v>0.49230819940567017</x:v>
      </x:c>
      <x:c r="H72" s="4" t="n">
        <x:f>IF(OR(F72="",G72=""),"",F72-G72)</x:f>
        <x:v>-0.006008199405670156</x:v>
      </x:c>
      <x:c r="I72" s="5" t="n">
        <x:f>IFERROR(H72/F72,"")</x:f>
        <x:v>-0.012354923721304043</x:v>
      </x:c>
      <x:c r="J72" t="str">
        <x:f>IF(H72&gt;0,"Yes",IF(H72&lt;0,"No","Tie"))</x:f>
        <x:v>No</x:v>
      </x:c>
    </x:row>
    <x:row r="73">
      <x:c r="A73" t="str">
        <x:v>FreTS</x:v>
      </x:c>
      <x:c r="B73" t="str">
        <x:v>ETTm1</x:v>
      </x:c>
      <x:c r="C73" t="n">
        <x:v>720</x:v>
      </x:c>
      <x:c r="D73" t="str">
        <x:v>Baseline</x:v>
      </x:c>
      <x:c r="E73" t="str">
        <x:v>COSA-P</x:v>
      </x:c>
      <x:c r="F73" s="4" t="n">
        <x:v>0.5526666666666666</x:v>
      </x:c>
      <x:c r="G73" s="4" t="n">
        <x:v>0.5682907998561859</x:v>
      </x:c>
      <x:c r="H73" s="4" t="n">
        <x:f>IF(OR(F73="",G73=""),"",F73-G73)</x:f>
        <x:v>-0.015624133189519274</x:v>
      </x:c>
      <x:c r="I73" s="5" t="n">
        <x:f>IFERROR(H73/F73,"")</x:f>
        <x:v>-0.028270446060650073</x:v>
      </x:c>
      <x:c r="J73" t="str">
        <x:f>IF(H73&gt;0,"Yes",IF(H73&lt;0,"No","Tie"))</x:f>
        <x:v>No</x:v>
      </x:c>
    </x:row>
    <x:row r="74">
      <x:c r="A74" t="str">
        <x:v>FreTS</x:v>
      </x:c>
      <x:c r="B74" t="str">
        <x:v>ETTm2</x:v>
      </x:c>
      <x:c r="C74" t="n">
        <x:v>96</x:v>
      </x:c>
      <x:c r="D74" t="str">
        <x:v>Baseline</x:v>
      </x:c>
      <x:c r="E74" t="str">
        <x:v>COSA-P</x:v>
      </x:c>
      <x:c r="F74" s="4" t="n">
        <x:v>0.11866666666666667</x:v>
      </x:c>
      <x:c r="G74" s="4" t="n">
        <x:v>0.11903567239642143</x:v>
      </x:c>
      <x:c r="H74" s="4" t="n">
        <x:f>IF(OR(F74="",G74=""),"",F74-G74)</x:f>
        <x:v>-0.0003690057297547622</x:v>
      </x:c>
      <x:c r="I74" s="5" t="n">
        <x:f>IFERROR(H74/F74,"")</x:f>
        <x:v>-0.003109598846247996</x:v>
      </x:c>
      <x:c r="J74" t="str">
        <x:f>IF(H74&gt;0,"Yes",IF(H74&lt;0,"No","Tie"))</x:f>
        <x:v>No</x:v>
      </x:c>
    </x:row>
    <x:row r="75">
      <x:c r="A75" t="str">
        <x:v>FreTS</x:v>
      </x:c>
      <x:c r="B75" t="str">
        <x:v>ETTm2</x:v>
      </x:c>
      <x:c r="C75" t="n">
        <x:v>192</x:v>
      </x:c>
      <x:c r="D75" t="str">
        <x:v>Baseline</x:v>
      </x:c>
      <x:c r="E75" t="str">
        <x:v>COSA-P</x:v>
      </x:c>
      <x:c r="F75" s="4" t="n">
        <x:v>0.14826666666666666</x:v>
      </x:c>
      <x:c r="G75" s="4" t="n">
        <x:v>0.1530347317457199</x:v>
      </x:c>
      <x:c r="H75" s="4" t="n">
        <x:f>IF(OR(F75="",G75=""),"",F75-G75)</x:f>
        <x:v>-0.004768065079053252</x:v>
      </x:c>
      <x:c r="I75" s="5" t="n">
        <x:f>IFERROR(H75/F75,"")</x:f>
        <x:v>-0.03215871231375845</x:v>
      </x:c>
      <x:c r="J75" t="str">
        <x:f>IF(H75&gt;0,"Yes",IF(H75&lt;0,"No","Tie"))</x:f>
        <x:v>No</x:v>
      </x:c>
    </x:row>
    <x:row r="76">
      <x:c r="A76" t="str">
        <x:v>FreTS</x:v>
      </x:c>
      <x:c r="B76" t="str">
        <x:v>ETTm2</x:v>
      </x:c>
      <x:c r="C76" t="n">
        <x:v>336</x:v>
      </x:c>
      <x:c r="D76" t="str">
        <x:v>Baseline</x:v>
      </x:c>
      <x:c r="E76" t="str">
        <x:v>COSA-P</x:v>
      </x:c>
      <x:c r="F76" s="4" t="n">
        <x:v>0.18183333333333332</x:v>
      </x:c>
      <x:c r="G76" s="4" t="n">
        <x:v>0.19166923314332962</x:v>
      </x:c>
      <x:c r="H76" s="4" t="n">
        <x:f>IF(OR(F76="",G76=""),"",F76-G76)</x:f>
        <x:v>-0.009835899809996301</x:v>
      </x:c>
      <x:c r="I76" s="5" t="n">
        <x:f>IFERROR(H76/F76,"")</x:f>
        <x:v>-0.054092941209878835</x:v>
      </x:c>
      <x:c r="J76" t="str">
        <x:f>IF(H76&gt;0,"Yes",IF(H76&lt;0,"No","Tie"))</x:f>
        <x:v>No</x:v>
      </x:c>
    </x:row>
    <x:row r="77">
      <x:c r="A77" t="str">
        <x:v>FreTS</x:v>
      </x:c>
      <x:c r="B77" t="str">
        <x:v>ETTm2</x:v>
      </x:c>
      <x:c r="C77" t="n">
        <x:v>720</x:v>
      </x:c>
      <x:c r="D77" t="str">
        <x:v>Baseline</x:v>
      </x:c>
      <x:c r="E77" t="str">
        <x:v>COSA-P</x:v>
      </x:c>
      <x:c r="F77" s="4" t="n">
        <x:v>0.23776666666666665</x:v>
      </x:c>
      <x:c r="G77" s="4" t="n">
        <x:v>0.24894782155752182</x:v>
      </x:c>
      <x:c r="H77" s="4" t="n">
        <x:f>IF(OR(F77="",G77=""),"",F77-G77)</x:f>
        <x:v>-0.011181154890855166</x:v>
      </x:c>
      <x:c r="I77" s="5" t="n">
        <x:f>IFERROR(H77/F77,"")</x:f>
        <x:v>-0.04702574607116992</x:v>
      </x:c>
      <x:c r="J77" t="str">
        <x:f>IF(H77&gt;0,"Yes",IF(H77&lt;0,"No","Tie"))</x:f>
        <x:v>No</x:v>
      </x:c>
    </x:row>
    <x:row r="78">
      <x:c r="A78" t="str">
        <x:v>FreTS</x:v>
      </x:c>
      <x:c r="B78" t="str">
        <x:v>Exchange Rate</x:v>
      </x:c>
      <x:c r="C78" t="n">
        <x:v>96</x:v>
      </x:c>
      <x:c r="D78" t="str">
        <x:v>Baseline</x:v>
      </x:c>
      <x:c r="E78" t="str">
        <x:v>COSA-P</x:v>
      </x:c>
      <x:c r="F78" s="4" t="n">
        <x:v>0.08346666666666666</x:v>
      </x:c>
      <x:c r="G78" s="4" t="n">
        <x:v>0.0793573260307312</x:v>
      </x:c>
      <x:c r="H78" s="4" t="n">
        <x:f>IF(OR(F78="",G78=""),"",F78-G78)</x:f>
        <x:v>0.00410934063593546</x:v>
      </x:c>
      <x:c r="I78" s="5" t="n">
        <x:f>IFERROR(H78/F78,"")</x:f>
        <x:v>0.04923331432830024</x:v>
      </x:c>
      <x:c r="J78" t="str">
        <x:f>IF(H78&gt;0,"Yes",IF(H78&lt;0,"No","Tie"))</x:f>
        <x:v>Yes</x:v>
      </x:c>
    </x:row>
    <x:row r="79">
      <x:c r="A79" t="str">
        <x:v>FreTS</x:v>
      </x:c>
      <x:c r="B79" t="str">
        <x:v>Exchange Rate</x:v>
      </x:c>
      <x:c r="C79" t="n">
        <x:v>192</x:v>
      </x:c>
      <x:c r="D79" t="str">
        <x:v>Baseline</x:v>
      </x:c>
      <x:c r="E79" t="str">
        <x:v>COSA-P</x:v>
      </x:c>
      <x:c r="F79" s="4" t="n">
        <x:v>0.1753</x:v>
      </x:c>
      <x:c r="G79" s="4" t="n">
        <x:v>0.15873949229717255</x:v>
      </x:c>
      <x:c r="H79" s="4" t="n">
        <x:f>IF(OR(F79="",G79=""),"",F79-G79)</x:f>
        <x:v>0.016560507702827465</x:v>
      </x:c>
      <x:c r="I79" s="5" t="n">
        <x:f>IFERROR(H79/F79,"")</x:f>
        <x:v>0.09446952483073283</x:v>
      </x:c>
      <x:c r="J79" t="str">
        <x:f>IF(H79&gt;0,"Yes",IF(H79&lt;0,"No","Tie"))</x:f>
        <x:v>Yes</x:v>
      </x:c>
    </x:row>
    <x:row r="80">
      <x:c r="A80" t="str">
        <x:v>FreTS</x:v>
      </x:c>
      <x:c r="B80" t="str">
        <x:v>Exchange Rate</x:v>
      </x:c>
      <x:c r="C80" t="n">
        <x:v>336</x:v>
      </x:c>
      <x:c r="D80" t="str">
        <x:v>Baseline</x:v>
      </x:c>
      <x:c r="E80" t="str">
        <x:v>COSA-P</x:v>
      </x:c>
      <x:c r="F80" s="4" t="n">
        <x:v>0.3244666666666666</x:v>
      </x:c>
      <x:c r="G80" s="4" t="n">
        <x:v>0.2735913544893265</x:v>
      </x:c>
      <x:c r="H80" s="4" t="n">
        <x:f>IF(OR(F80="",G80=""),"",F80-G80)</x:f>
        <x:v>0.05087531217734015</x:v>
      </x:c>
      <x:c r="I80" s="5" t="n">
        <x:f>IFERROR(H80/F80,"")</x:f>
        <x:v>0.15679672953772392</x:v>
      </x:c>
      <x:c r="J80" t="str">
        <x:f>IF(H80&gt;0,"Yes",IF(H80&lt;0,"No","Tie"))</x:f>
        <x:v>Yes</x:v>
      </x:c>
    </x:row>
    <x:row r="81">
      <x:c r="A81" t="str">
        <x:v>FreTS</x:v>
      </x:c>
      <x:c r="B81" t="str">
        <x:v>Exchange Rate</x:v>
      </x:c>
      <x:c r="C81" t="n">
        <x:v>720</x:v>
      </x:c>
      <x:c r="D81" t="str">
        <x:v>Baseline</x:v>
      </x:c>
      <x:c r="E81" t="str">
        <x:v>COSA-P</x:v>
      </x:c>
      <x:c r="F81" s="4" t="n">
        <x:v>0.8421</x:v>
      </x:c>
      <x:c r="G81" s="4" t="n">
        <x:v>0.4896686226129532</x:v>
      </x:c>
      <x:c r="H81" s="4" t="n">
        <x:f>IF(OR(F81="",G81=""),"",F81-G81)</x:f>
        <x:v>0.3524313773870468</x:v>
      </x:c>
      <x:c r="I81" s="5" t="n">
        <x:f>IFERROR(H81/F81,"")</x:f>
        <x:v>0.4185148763650953</x:v>
      </x:c>
      <x:c r="J81" t="str">
        <x:f>IF(H81&gt;0,"Yes",IF(H81&lt;0,"No","Tie"))</x:f>
        <x:v>Yes</x:v>
      </x:c>
    </x:row>
    <x:row r="82">
      <x:c r="A82" t="str">
        <x:v>FreTS</x:v>
      </x:c>
      <x:c r="B82" t="str">
        <x:v>weather</x:v>
      </x:c>
      <x:c r="C82" t="n">
        <x:v>96</x:v>
      </x:c>
      <x:c r="D82" t="str">
        <x:v>Baseline</x:v>
      </x:c>
      <x:c r="E82" t="str">
        <x:v>COSA-P</x:v>
      </x:c>
      <x:c r="F82" s="4" t="n">
        <x:v>0.18303333333333333</x:v>
      </x:c>
      <x:c r="G82" s="4" t="n">
        <x:v>0.17938250303268433</x:v>
      </x:c>
      <x:c r="H82" s="4" t="n">
        <x:f>IF(OR(F82="",G82=""),"",F82-G82)</x:f>
        <x:v>0.0036508303006489995</x:v>
      </x:c>
      <x:c r="I82" s="5" t="n">
        <x:f>IFERROR(H82/F82,"")</x:f>
        <x:v>0.019946259154884353</x:v>
      </x:c>
      <x:c r="J82" t="str">
        <x:f>IF(H82&gt;0,"Yes",IF(H82&lt;0,"No","Tie"))</x:f>
        <x:v>Yes</x:v>
      </x:c>
    </x:row>
    <x:row r="83">
      <x:c r="A83" t="str">
        <x:v>FreTS</x:v>
      </x:c>
      <x:c r="B83" t="str">
        <x:v>weather</x:v>
      </x:c>
      <x:c r="C83" t="n">
        <x:v>192</x:v>
      </x:c>
      <x:c r="D83" t="str">
        <x:v>Baseline</x:v>
      </x:c>
      <x:c r="E83" t="str">
        <x:v>COSA-P</x:v>
      </x:c>
      <x:c r="F83" s="4" t="n">
        <x:v>0.22936666666666666</x:v>
      </x:c>
      <x:c r="G83" s="4" t="n">
        <x:v>0.234613336622715</x:v>
      </x:c>
      <x:c r="H83" s="4" t="n">
        <x:f>IF(OR(F83="",G83=""),"",F83-G83)</x:f>
        <x:v>-0.005246669956048333</x:v>
      </x:c>
      <x:c r="I83" s="5" t="n">
        <x:f>IFERROR(H83/F83,"")</x:f>
        <x:v>-0.022874596523971807</x:v>
      </x:c>
      <x:c r="J83" t="str">
        <x:f>IF(H83&gt;0,"Yes",IF(H83&lt;0,"No","Tie"))</x:f>
        <x:v>No</x:v>
      </x:c>
    </x:row>
    <x:row r="84">
      <x:c r="A84" t="str">
        <x:v>FreTS</x:v>
      </x:c>
      <x:c r="B84" t="str">
        <x:v>weather</x:v>
      </x:c>
      <x:c r="C84" t="n">
        <x:v>336</x:v>
      </x:c>
      <x:c r="D84" t="str">
        <x:v>Baseline</x:v>
      </x:c>
      <x:c r="E84" t="str">
        <x:v>COSA-P</x:v>
      </x:c>
      <x:c r="F84" s="4" t="n">
        <x:v>0.28303333333333336</x:v>
      </x:c>
      <x:c r="G84" s="4" t="n">
        <x:v>0.3340434283018112</x:v>
      </x:c>
      <x:c r="H84" s="4" t="n">
        <x:f>IF(OR(F84="",G84=""),"",F84-G84)</x:f>
        <x:v>-0.05101009496847786</x:v>
      </x:c>
      <x:c r="I84" s="5" t="n">
        <x:f>IFERROR(H84/F84,"")</x:f>
        <x:v>-0.1802264573141368</x:v>
      </x:c>
      <x:c r="J84" t="str">
        <x:f>IF(H84&gt;0,"Yes",IF(H84&lt;0,"No","Tie"))</x:f>
        <x:v>No</x:v>
      </x:c>
    </x:row>
    <x:row r="85">
      <x:c r="A85" t="str">
        <x:v>FreTS</x:v>
      </x:c>
      <x:c r="B85" t="str">
        <x:v>weather</x:v>
      </x:c>
      <x:c r="C85" t="n">
        <x:v>720</x:v>
      </x:c>
      <x:c r="D85" t="str">
        <x:v>Baseline</x:v>
      </x:c>
      <x:c r="E85" t="str">
        <x:v>COSA-P</x:v>
      </x:c>
      <x:c r="F85" s="4" t="n">
        <x:v>0.35883333333333334</x:v>
      </x:c>
      <x:c r="G85" s="4" t="n">
        <x:v>0.3678760379552841</x:v>
      </x:c>
      <x:c r="H85" s="4" t="n">
        <x:f>IF(OR(F85="",G85=""),"",F85-G85)</x:f>
        <x:v>-0.009042704621950781</x:v>
      </x:c>
      <x:c r="I85" s="5" t="n">
        <x:f>IFERROR(H85/F85,"")</x:f>
        <x:v>-0.02520029156140487</x:v>
      </x:c>
      <x:c r="J85" t="str">
        <x:f>IF(H85&gt;0,"Yes",IF(H85&lt;0,"No","Tie"))</x:f>
        <x:v>No</x:v>
      </x:c>
    </x:row>
    <x:row r="86">
      <x:c r="A86" t="str">
        <x:v>FreTS</x:v>
      </x:c>
      <x:c r="B86" t="str">
        <x:v>electricity</x:v>
      </x:c>
      <x:c r="C86" t="n">
        <x:v>96</x:v>
      </x:c>
      <x:c r="D86" t="str">
        <x:v>Baseline</x:v>
      </x:c>
      <x:c r="E86" t="str">
        <x:v>COSA-P</x:v>
      </x:c>
      <x:c r="F86" s="4" t="n">
        <x:v>0.18833333333333332</x:v>
      </x:c>
      <x:c r="G86" s="4" t="n">
        <x:v>0.18812623620033264</x:v>
      </x:c>
      <x:c r="H86" s="4" t="n">
        <x:f>IF(OR(F86="",G86=""),"",F86-G86)</x:f>
        <x:v>0.00020709713300068322</x:v>
      </x:c>
      <x:c r="I86" s="5" t="n">
        <x:f>IFERROR(H86/F86,"")</x:f>
        <x:v>0.0010996307946938933</x:v>
      </x:c>
      <x:c r="J86" t="str">
        <x:f>IF(H86&gt;0,"Yes",IF(H86&lt;0,"No","Tie"))</x:f>
        <x:v>Yes</x:v>
      </x:c>
    </x:row>
    <x:row r="87">
      <x:c r="A87" t="str">
        <x:v>FreTS</x:v>
      </x:c>
      <x:c r="B87" t="str">
        <x:v>electricity</x:v>
      </x:c>
      <x:c r="C87" t="n">
        <x:v>192</x:v>
      </x:c>
      <x:c r="D87" t="str">
        <x:v>Baseline</x:v>
      </x:c>
      <x:c r="E87" t="str">
        <x:v>COSA-P</x:v>
      </x:c>
      <x:c r="F87" s="4" t="n">
        <x:v>0.19246666666666665</x:v>
      </x:c>
      <x:c r="G87" s="4" t="n">
        <x:v>0.18934444089730582</x:v>
      </x:c>
      <x:c r="H87" s="4" t="n">
        <x:f>IF(OR(F87="",G87=""),"",F87-G87)</x:f>
        <x:v>0.0031222257693608313</x:v>
      </x:c>
      <x:c r="I87" s="5" t="n">
        <x:f>IFERROR(H87/F87,"")</x:f>
        <x:v>0.01622216367870193</x:v>
      </x:c>
      <x:c r="J87" t="str">
        <x:f>IF(H87&gt;0,"Yes",IF(H87&lt;0,"No","Tie"))</x:f>
        <x:v>Yes</x:v>
      </x:c>
    </x:row>
    <x:row r="88">
      <x:c r="A88" t="str">
        <x:v>FreTS</x:v>
      </x:c>
      <x:c r="B88" t="str">
        <x:v>electricity</x:v>
      </x:c>
      <x:c r="C88" t="n">
        <x:v>336</x:v>
      </x:c>
      <x:c r="D88" t="str">
        <x:v>Baseline</x:v>
      </x:c>
      <x:c r="E88" t="str">
        <x:v>COSA-P</x:v>
      </x:c>
      <x:c r="F88" s="4" t="n">
        <x:v>0.209</x:v>
      </x:c>
      <x:c r="G88" s="4" t="n">
        <x:v>0.19832178950309753</x:v>
      </x:c>
      <x:c r="H88" s="4" t="n">
        <x:f>IF(OR(F88="",G88=""),"",F88-G88)</x:f>
        <x:v>0.010678210496902457</x:v>
      </x:c>
      <x:c r="I88" s="5" t="n">
        <x:f>IFERROR(H88/F88,"")</x:f>
        <x:v>0.05109191625312181</x:v>
      </x:c>
      <x:c r="J88" t="str">
        <x:f>IF(H88&gt;0,"Yes",IF(H88&lt;0,"No","Tie"))</x:f>
        <x:v>Yes</x:v>
      </x:c>
    </x:row>
    <x:row r="89">
      <x:c r="A89" t="str">
        <x:v>FreTS</x:v>
      </x:c>
      <x:c r="B89" t="str">
        <x:v>electricity</x:v>
      </x:c>
      <x:c r="C89" t="n">
        <x:v>720</x:v>
      </x:c>
      <x:c r="D89" t="str">
        <x:v>Baseline</x:v>
      </x:c>
      <x:c r="E89" t="str">
        <x:v>COSA-P</x:v>
      </x:c>
      <x:c r="F89" s="4" t="n">
        <x:v>0.25183333333333335</x:v>
      </x:c>
      <x:c r="G89" s="4" t="n">
        <x:v>0.22500399748484293</x:v>
      </x:c>
      <x:c r="H89" s="4" t="n">
        <x:f>IF(OR(F89="",G89=""),"",F89-G89)</x:f>
        <x:v>0.026829335848490427</x:v>
      </x:c>
      <x:c r="I89" s="5" t="n">
        <x:f>IFERROR(H89/F89,"")</x:f>
        <x:v>0.10653607881597786</x:v>
      </x:c>
      <x:c r="J89" t="str">
        <x:f>IF(H89&gt;0,"Yes",IF(H89&lt;0,"No","Tie"))</x:f>
        <x:v>Yes</x:v>
      </x:c>
    </x:row>
    <x:row r="90">
      <x:c r="A90" t="str">
        <x:v>PatchTST</x:v>
      </x:c>
      <x:c r="B90" t="str">
        <x:v>ETTh1</x:v>
      </x:c>
      <x:c r="C90" t="n">
        <x:v>96</x:v>
      </x:c>
      <x:c r="D90" t="str">
        <x:v>Baseline</x:v>
      </x:c>
      <x:c r="E90" t="str">
        <x:v>COSA-P</x:v>
      </x:c>
      <x:c r="F90" s="4" t="n">
        <x:v>0.48273333333333335</x:v>
      </x:c>
      <x:c r="G90" s="4" t="n">
        <x:v>0.4247053066889445</x:v>
      </x:c>
      <x:c r="H90" s="4" t="n">
        <x:f>IF(OR(F90="",G90=""),"",F90-G90)</x:f>
        <x:v>0.05802802664438883</x:v>
      </x:c>
      <x:c r="I90" s="5" t="n">
        <x:f>IFERROR(H90/F90,"")</x:f>
        <x:v>0.12020720890289081</x:v>
      </x:c>
      <x:c r="J90" t="str">
        <x:f>IF(H90&gt;0,"Yes",IF(H90&lt;0,"No","Tie"))</x:f>
        <x:v>Yes</x:v>
      </x:c>
    </x:row>
    <x:row r="91">
      <x:c r="A91" t="str">
        <x:v>PatchTST</x:v>
      </x:c>
      <x:c r="B91" t="str">
        <x:v>ETTh1</x:v>
      </x:c>
      <x:c r="C91" t="n">
        <x:v>192</x:v>
      </x:c>
      <x:c r="D91" t="str">
        <x:v>Baseline</x:v>
      </x:c>
      <x:c r="E91" t="str">
        <x:v>COSA-P</x:v>
      </x:c>
      <x:c r="F91" s="4" t="n">
        <x:v>0.5451666666666667</x:v>
      </x:c>
      <x:c r="G91" s="4" t="n">
        <x:v>0.49522096912066144</x:v>
      </x:c>
      <x:c r="H91" s="4" t="n">
        <x:f>IF(OR(F91="",G91=""),"",F91-G91)</x:f>
        <x:v>0.04994569754600525</x:v>
      </x:c>
      <x:c r="I91" s="5" t="n">
        <x:f>IFERROR(H91/F91,"")</x:f>
        <x:v>0.09161546477408483</x:v>
      </x:c>
      <x:c r="J91" t="str">
        <x:f>IF(H91&gt;0,"Yes",IF(H91&lt;0,"No","Tie"))</x:f>
        <x:v>Yes</x:v>
      </x:c>
    </x:row>
    <x:row r="92">
      <x:c r="A92" t="str">
        <x:v>PatchTST</x:v>
      </x:c>
      <x:c r="B92" t="str">
        <x:v>ETTh1</x:v>
      </x:c>
      <x:c r="C92" t="n">
        <x:v>336</x:v>
      </x:c>
      <x:c r="D92" t="str">
        <x:v>Baseline</x:v>
      </x:c>
      <x:c r="E92" t="str">
        <x:v>COSA-P</x:v>
      </x:c>
      <x:c r="F92" s="4" t="n">
        <x:v>0.6126333333333334</x:v>
      </x:c>
      <x:c r="G92" s="4" t="n">
        <x:v>0.5162452658017477</x:v>
      </x:c>
      <x:c r="H92" s="4" t="n">
        <x:f>IF(OR(F92="",G92=""),"",F92-G92)</x:f>
        <x:v>0.09638806753158569</x:v>
      </x:c>
      <x:c r="I92" s="5" t="n">
        <x:f>IFERROR(H92/F92,"")</x:f>
        <x:v>0.15733402393751403</x:v>
      </x:c>
      <x:c r="J92" t="str">
        <x:f>IF(H92&gt;0,"Yes",IF(H92&lt;0,"No","Tie"))</x:f>
        <x:v>Yes</x:v>
      </x:c>
    </x:row>
    <x:row r="93">
      <x:c r="A93" t="str">
        <x:v>PatchTST</x:v>
      </x:c>
      <x:c r="B93" t="str">
        <x:v>ETTh1</x:v>
      </x:c>
      <x:c r="C93" t="n">
        <x:v>720</x:v>
      </x:c>
      <x:c r="D93" t="str">
        <x:v>Baseline</x:v>
      </x:c>
      <x:c r="E93" t="str">
        <x:v>COSA-P</x:v>
      </x:c>
      <x:c r="F93" s="4" t="n">
        <x:v>0.8043666666666667</x:v>
      </x:c>
      <x:c r="G93" s="4" t="n">
        <x:v>0.6058636903762817</x:v>
      </x:c>
      <x:c r="H93" s="4" t="n">
        <x:f>IF(OR(F93="",G93=""),"",F93-G93)</x:f>
        <x:v>0.19850297629038494</x:v>
      </x:c>
      <x:c r="I93" s="5" t="n">
        <x:f>IFERROR(H93/F93,"")</x:f>
        <x:v>0.24678170356435905</x:v>
      </x:c>
      <x:c r="J93" t="str">
        <x:f>IF(H93&gt;0,"Yes",IF(H93&lt;0,"No","Tie"))</x:f>
        <x:v>Yes</x:v>
      </x:c>
    </x:row>
    <x:row r="94">
      <x:c r="A94" t="str">
        <x:v>PatchTST</x:v>
      </x:c>
      <x:c r="B94" t="str">
        <x:v>ETTh2</x:v>
      </x:c>
      <x:c r="C94" t="n">
        <x:v>96</x:v>
      </x:c>
      <x:c r="D94" t="str">
        <x:v>Baseline</x:v>
      </x:c>
      <x:c r="E94" t="str">
        <x:v>COSA-P</x:v>
      </x:c>
      <x:c r="F94" s="4" t="n">
        <x:v>0.19286666666666666</x:v>
      </x:c>
      <x:c r="G94" s="4" t="n">
        <x:v>0.18623617788155875</x:v>
      </x:c>
      <x:c r="H94" s="4" t="n">
        <x:f>IF(OR(F94="",G94=""),"",F94-G94)</x:f>
        <x:v>0.006630488785107913</x:v>
      </x:c>
      <x:c r="I94" s="5" t="n">
        <x:f>IFERROR(H94/F94,"")</x:f>
        <x:v>0.03437861450971957</x:v>
      </x:c>
      <x:c r="J94" t="str">
        <x:f>IF(H94&gt;0,"Yes",IF(H94&lt;0,"No","Tie"))</x:f>
        <x:v>Yes</x:v>
      </x:c>
    </x:row>
    <x:row r="95">
      <x:c r="A95" t="str">
        <x:v>PatchTST</x:v>
      </x:c>
      <x:c r="B95" t="str">
        <x:v>ETTh2</x:v>
      </x:c>
      <x:c r="C95" t="n">
        <x:v>192</x:v>
      </x:c>
      <x:c r="D95" t="str">
        <x:v>Baseline</x:v>
      </x:c>
      <x:c r="E95" t="str">
        <x:v>COSA-P</x:v>
      </x:c>
      <x:c r="F95" s="4" t="n">
        <x:v>0.2316</x:v>
      </x:c>
      <x:c r="G95" s="4" t="n">
        <x:v>0.2334043582280477</x:v>
      </x:c>
      <x:c r="H95" s="4" t="n">
        <x:f>IF(OR(F95="",G95=""),"",F95-G95)</x:f>
        <x:v>-0.0018043582280476977</x:v>
      </x:c>
      <x:c r="I95" s="5" t="n">
        <x:f>IFERROR(H95/F95,"")</x:f>
        <x:v>-0.007790838635784532</x:v>
      </x:c>
      <x:c r="J95" t="str">
        <x:f>IF(H95&gt;0,"Yes",IF(H95&lt;0,"No","Tie"))</x:f>
        <x:v>No</x:v>
      </x:c>
    </x:row>
    <x:row r="96">
      <x:c r="A96" t="str">
        <x:v>PatchTST</x:v>
      </x:c>
      <x:c r="B96" t="str">
        <x:v>ETTh2</x:v>
      </x:c>
      <x:c r="C96" t="n">
        <x:v>336</x:v>
      </x:c>
      <x:c r="D96" t="str">
        <x:v>Baseline</x:v>
      </x:c>
      <x:c r="E96" t="str">
        <x:v>COSA-P</x:v>
      </x:c>
      <x:c r="F96" s="4" t="n">
        <x:v>0.2641</x:v>
      </x:c>
      <x:c r="G96" s="4" t="n">
        <x:v>0.25970516602198285</x:v>
      </x:c>
      <x:c r="H96" s="4" t="n">
        <x:f>IF(OR(F96="",G96=""),"",F96-G96)</x:f>
        <x:v>0.004394833978017154</x:v>
      </x:c>
      <x:c r="I96" s="5" t="n">
        <x:f>IFERROR(H96/F96,"")</x:f>
        <x:v>0.016640795070114178</x:v>
      </x:c>
      <x:c r="J96" t="str">
        <x:f>IF(H96&gt;0,"Yes",IF(H96&lt;0,"No","Tie"))</x:f>
        <x:v>Yes</x:v>
      </x:c>
    </x:row>
    <x:row r="97">
      <x:c r="A97" t="str">
        <x:v>PatchTST</x:v>
      </x:c>
      <x:c r="B97" t="str">
        <x:v>ETTh2</x:v>
      </x:c>
      <x:c r="C97" t="n">
        <x:v>720</x:v>
      </x:c>
      <x:c r="D97" t="str">
        <x:v>Baseline</x:v>
      </x:c>
      <x:c r="E97" t="str">
        <x:v>COSA-P</x:v>
      </x:c>
      <x:c r="F97" s="4" t="n">
        <x:v>0.31766666666666665</x:v>
      </x:c>
      <x:c r="G97" s="4" t="n">
        <x:v>0.28287429610888165</x:v>
      </x:c>
      <x:c r="H97" s="4" t="n">
        <x:f>IF(OR(F97="",G97=""),"",F97-G97)</x:f>
        <x:v>0.034792370557785</x:v>
      </x:c>
      <x:c r="I97" s="5" t="n">
        <x:f>IFERROR(H97/F97,"")</x:f>
        <x:v>0.10952477615252362</x:v>
      </x:c>
      <x:c r="J97" t="str">
        <x:f>IF(H97&gt;0,"Yes",IF(H97&lt;0,"No","Tie"))</x:f>
        <x:v>Yes</x:v>
      </x:c>
    </x:row>
    <x:row r="98">
      <x:c r="A98" t="str">
        <x:v>PatchTST</x:v>
      </x:c>
      <x:c r="B98" t="str">
        <x:v>ETTm1</x:v>
      </x:c>
      <x:c r="C98" t="n">
        <x:v>96</x:v>
      </x:c>
      <x:c r="D98" t="str">
        <x:v>Baseline</x:v>
      </x:c>
      <x:c r="E98" t="str">
        <x:v>COSA-P</x:v>
      </x:c>
      <x:c r="F98" s="4" t="n">
        <x:v>0.43866666666666665</x:v>
      </x:c>
      <x:c r="G98" s="4" t="n">
        <x:v>0.36621227860450745</x:v>
      </x:c>
      <x:c r="H98" s="4" t="n">
        <x:f>IF(OR(F98="",G98=""),"",F98-G98)</x:f>
        <x:v>0.0724543880621592</x:v>
      </x:c>
      <x:c r="I98" s="5" t="n">
        <x:f>IFERROR(H98/F98,"")</x:f>
        <x:v>0.1651695776492991</x:v>
      </x:c>
      <x:c r="J98" t="str">
        <x:f>IF(H98&gt;0,"Yes",IF(H98&lt;0,"No","Tie"))</x:f>
        <x:v>Yes</x:v>
      </x:c>
    </x:row>
    <x:row r="99">
      <x:c r="A99" t="str">
        <x:v>PatchTST</x:v>
      </x:c>
      <x:c r="B99" t="str">
        <x:v>ETTm1</x:v>
      </x:c>
      <x:c r="C99" t="n">
        <x:v>192</x:v>
      </x:c>
      <x:c r="D99" t="str">
        <x:v>Baseline</x:v>
      </x:c>
      <x:c r="E99" t="str">
        <x:v>COSA-P</x:v>
      </x:c>
      <x:c r="F99" s="4" t="n">
        <x:v>0.4817</x:v>
      </x:c>
      <x:c r="G99" s="4" t="n">
        <x:v>0.42237961292266846</x:v>
      </x:c>
      <x:c r="H99" s="4" t="n">
        <x:f>IF(OR(F99="",G99=""),"",F99-G99)</x:f>
        <x:v>0.05932038707733156</x:v>
      </x:c>
      <x:c r="I99" s="5" t="n">
        <x:f>IFERROR(H99/F99,"")</x:f>
        <x:v>0.12314799061102669</x:v>
      </x:c>
      <x:c r="J99" t="str">
        <x:f>IF(H99&gt;0,"Yes",IF(H99&lt;0,"No","Tie"))</x:f>
        <x:v>Yes</x:v>
      </x:c>
    </x:row>
    <x:row r="100">
      <x:c r="A100" t="str">
        <x:v>PatchTST</x:v>
      </x:c>
      <x:c r="B100" t="str">
        <x:v>ETTm1</x:v>
      </x:c>
      <x:c r="C100" t="n">
        <x:v>336</x:v>
      </x:c>
      <x:c r="D100" t="str">
        <x:v>Baseline</x:v>
      </x:c>
      <x:c r="E100" t="str">
        <x:v>COSA-P</x:v>
      </x:c>
      <x:c r="F100" s="4" t="n">
        <x:v>0.5403333333333333</x:v>
      </x:c>
      <x:c r="G100" s="4" t="n">
        <x:v>0.49631453553835553</x:v>
      </x:c>
      <x:c r="H100" s="4" t="n">
        <x:f>IF(OR(F100="",G100=""),"",F100-G100)</x:f>
        <x:v>0.044018797794977804</x:v>
      </x:c>
      <x:c r="I100" s="5" t="n">
        <x:f>IFERROR(H100/F100,"")</x:f>
        <x:v>0.08146600455578866</x:v>
      </x:c>
      <x:c r="J100" t="str">
        <x:f>IF(H100&gt;0,"Yes",IF(H100&lt;0,"No","Tie"))</x:f>
        <x:v>Yes</x:v>
      </x:c>
    </x:row>
    <x:row r="101">
      <x:c r="A101" t="str">
        <x:v>PatchTST</x:v>
      </x:c>
      <x:c r="B101" t="str">
        <x:v>ETTm1</x:v>
      </x:c>
      <x:c r="C101" t="n">
        <x:v>720</x:v>
      </x:c>
      <x:c r="D101" t="str">
        <x:v>Baseline</x:v>
      </x:c>
      <x:c r="E101" t="str">
        <x:v>COSA-P</x:v>
      </x:c>
      <x:c r="F101" s="4" t="n">
        <x:v>0.5972333333333334</x:v>
      </x:c>
      <x:c r="G101" s="4" t="n">
        <x:v>0.5604209502538046</x:v>
      </x:c>
      <x:c r="H101" s="4" t="n">
        <x:f>IF(OR(F101="",G101=""),"",F101-G101)</x:f>
        <x:v>0.03681238307952883</x:v>
      </x:c>
      <x:c r="I101" s="5" t="n">
        <x:f>IFERROR(H101/F101,"")</x:f>
        <x:v>0.06163819235284171</x:v>
      </x:c>
      <x:c r="J101" t="str">
        <x:f>IF(H101&gt;0,"Yes",IF(H101&lt;0,"No","Tie"))</x:f>
        <x:v>Yes</x:v>
      </x:c>
    </x:row>
    <x:row r="102">
      <x:c r="A102" t="str">
        <x:v>PatchTST</x:v>
      </x:c>
      <x:c r="B102" t="str">
        <x:v>ETTm2</x:v>
      </x:c>
      <x:c r="C102" t="n">
        <x:v>96</x:v>
      </x:c>
      <x:c r="D102" t="str">
        <x:v>Baseline</x:v>
      </x:c>
      <x:c r="E102" t="str">
        <x:v>COSA-P</x:v>
      </x:c>
      <x:c r="F102" s="4" t="n">
        <x:v>0.12416666666666666</x:v>
      </x:c>
      <x:c r="G102" s="4" t="n">
        <x:v>0.11984926710526149</x:v>
      </x:c>
      <x:c r="H102" s="4" t="n">
        <x:f>IF(OR(F102="",G102=""),"",F102-G102)</x:f>
        <x:v>0.004317399561405172</x:v>
      </x:c>
      <x:c r="I102" s="5" t="n">
        <x:f>IFERROR(H102/F102,"")</x:f>
        <x:v>0.034771003179102054</x:v>
      </x:c>
      <x:c r="J102" t="str">
        <x:f>IF(H102&gt;0,"Yes",IF(H102&lt;0,"No","Tie"))</x:f>
        <x:v>Yes</x:v>
      </x:c>
    </x:row>
    <x:row r="103">
      <x:c r="A103" t="str">
        <x:v>PatchTST</x:v>
      </x:c>
      <x:c r="B103" t="str">
        <x:v>ETTm2</x:v>
      </x:c>
      <x:c r="C103" t="n">
        <x:v>192</x:v>
      </x:c>
      <x:c r="D103" t="str">
        <x:v>Baseline</x:v>
      </x:c>
      <x:c r="E103" t="str">
        <x:v>COSA-P</x:v>
      </x:c>
      <x:c r="F103" s="4" t="n">
        <x:v>0.15743333333333331</x:v>
      </x:c>
      <x:c r="G103" s="4" t="n">
        <x:v>0.15923341612021127</x:v>
      </x:c>
      <x:c r="H103" s="4" t="n">
        <x:f>IF(OR(F103="",G103=""),"",F103-G103)</x:f>
        <x:v>-0.00180008278687796</x:v>
      </x:c>
      <x:c r="I103" s="5" t="n">
        <x:f>IFERROR(H103/F103,"")</x:f>
        <x:v>-0.011433936821160028</x:v>
      </x:c>
      <x:c r="J103" t="str">
        <x:f>IF(H103&gt;0,"Yes",IF(H103&lt;0,"No","Tie"))</x:f>
        <x:v>No</x:v>
      </x:c>
    </x:row>
    <x:row r="104">
      <x:c r="A104" t="str">
        <x:v>PatchTST</x:v>
      </x:c>
      <x:c r="B104" t="str">
        <x:v>ETTm2</x:v>
      </x:c>
      <x:c r="C104" t="n">
        <x:v>336</x:v>
      </x:c>
      <x:c r="D104" t="str">
        <x:v>Baseline</x:v>
      </x:c>
      <x:c r="E104" t="str">
        <x:v>COSA-P</x:v>
      </x:c>
      <x:c r="F104" s="4" t="n">
        <x:v>0.19493333333333332</x:v>
      </x:c>
      <x:c r="G104" s="4" t="n">
        <x:v>0.2025447835524877</x:v>
      </x:c>
      <x:c r="H104" s="4" t="n">
        <x:f>IF(OR(F104="",G104=""),"",F104-G104)</x:f>
        <x:v>-0.007611450219154381</x:v>
      </x:c>
      <x:c r="I104" s="5" t="n">
        <x:f>IFERROR(H104/F104,"")</x:f>
        <x:v>-0.039046427252843956</x:v>
      </x:c>
      <x:c r="J104" t="str">
        <x:f>IF(H104&gt;0,"Yes",IF(H104&lt;0,"No","Tie"))</x:f>
        <x:v>No</x:v>
      </x:c>
    </x:row>
    <x:row r="105">
      <x:c r="A105" t="str">
        <x:v>PatchTST</x:v>
      </x:c>
      <x:c r="B105" t="str">
        <x:v>ETTm2</x:v>
      </x:c>
      <x:c r="C105" t="n">
        <x:v>720</x:v>
      </x:c>
      <x:c r="D105" t="str">
        <x:v>Baseline</x:v>
      </x:c>
      <x:c r="E105" t="str">
        <x:v>COSA-P</x:v>
      </x:c>
      <x:c r="F105" s="4" t="n">
        <x:v>0.24963333333333332</x:v>
      </x:c>
      <x:c r="G105" s="4" t="n">
        <x:v>0.24375500281651816</x:v>
      </x:c>
      <x:c r="H105" s="4" t="n">
        <x:f>IF(OR(F105="",G105=""),"",F105-G105)</x:f>
        <x:v>0.005878330516815161</x:v>
      </x:c>
      <x:c r="I105" s="5" t="n">
        <x:f>IFERROR(H105/F105,"")</x:f>
        <x:v>0.023547858927020274</x:v>
      </x:c>
      <x:c r="J105" t="str">
        <x:f>IF(H105&gt;0,"Yes",IF(H105&lt;0,"No","Tie"))</x:f>
        <x:v>Yes</x:v>
      </x:c>
    </x:row>
    <x:row r="106">
      <x:c r="A106" t="str">
        <x:v>PatchTST</x:v>
      </x:c>
      <x:c r="B106" t="str">
        <x:v>Exchange Rate</x:v>
      </x:c>
      <x:c r="C106" t="n">
        <x:v>96</x:v>
      </x:c>
      <x:c r="D106" t="str">
        <x:v>Baseline</x:v>
      </x:c>
      <x:c r="E106" t="str">
        <x:v>COSA-P</x:v>
      </x:c>
      <x:c r="F106" s="4" t="n">
        <x:v>0.09373333333333334</x:v>
      </x:c>
      <x:c r="G106" s="4" t="n">
        <x:v>0.0814393162727356</x:v>
      </x:c>
      <x:c r="H106" s="4" t="n">
        <x:f>IF(OR(F106="",G106=""),"",F106-G106)</x:f>
        <x:v>0.01229401706059774</x:v>
      </x:c>
      <x:c r="I106" s="5" t="n">
        <x:f>IFERROR(H106/F106,"")</x:f>
        <x:v>0.1311594992240157</x:v>
      </x:c>
      <x:c r="J106" t="str">
        <x:f>IF(H106&gt;0,"Yes",IF(H106&lt;0,"No","Tie"))</x:f>
        <x:v>Yes</x:v>
      </x:c>
    </x:row>
    <x:row r="107">
      <x:c r="A107" t="str">
        <x:v>PatchTST</x:v>
      </x:c>
      <x:c r="B107" t="str">
        <x:v>Exchange Rate</x:v>
      </x:c>
      <x:c r="C107" t="n">
        <x:v>192</x:v>
      </x:c>
      <x:c r="D107" t="str">
        <x:v>Baseline</x:v>
      </x:c>
      <x:c r="E107" t="str">
        <x:v>COSA-P</x:v>
      </x:c>
      <x:c r="F107" s="4" t="n">
        <x:v>0.18626666666666666</x:v>
      </x:c>
      <x:c r="G107" s="4" t="n">
        <x:v>0.1621133287747701</x:v>
      </x:c>
      <x:c r="H107" s="4" t="n">
        <x:f>IF(OR(F107="",G107=""),"",F107-G107)</x:f>
        <x:v>0.024153337891896554</x:v>
      </x:c>
      <x:c r="I107" s="5" t="n">
        <x:f>IFERROR(H107/F107,"")</x:f>
        <x:v>0.1296707474511268</x:v>
      </x:c>
      <x:c r="J107" t="str">
        <x:f>IF(H107&gt;0,"Yes",IF(H107&lt;0,"No","Tie"))</x:f>
        <x:v>Yes</x:v>
      </x:c>
    </x:row>
    <x:row r="108">
      <x:c r="A108" t="str">
        <x:v>PatchTST</x:v>
      </x:c>
      <x:c r="B108" t="str">
        <x:v>Exchange Rate</x:v>
      </x:c>
      <x:c r="C108" t="n">
        <x:v>336</x:v>
      </x:c>
      <x:c r="D108" t="str">
        <x:v>Baseline</x:v>
      </x:c>
      <x:c r="E108" t="str">
        <x:v>COSA-P</x:v>
      </x:c>
      <x:c r="F108" s="4" t="n">
        <x:v>0.35833333333333334</x:v>
      </x:c>
      <x:c r="G108" s="4" t="n">
        <x:v>0.2963170011838277</x:v>
      </x:c>
      <x:c r="H108" s="4" t="n">
        <x:f>IF(OR(F108="",G108=""),"",F108-G108)</x:f>
        <x:v>0.06201633214950564</x:v>
      </x:c>
      <x:c r="I108" s="5" t="n">
        <x:f>IFERROR(H108/F108,"")</x:f>
        <x:v>0.17306883390559713</x:v>
      </x:c>
      <x:c r="J108" t="str">
        <x:f>IF(H108&gt;0,"Yes",IF(H108&lt;0,"No","Tie"))</x:f>
        <x:v>Yes</x:v>
      </x:c>
    </x:row>
    <x:row r="109">
      <x:c r="A109" t="str">
        <x:v>PatchTST</x:v>
      </x:c>
      <x:c r="B109" t="str">
        <x:v>Exchange Rate</x:v>
      </x:c>
      <x:c r="C109" t="n">
        <x:v>720</x:v>
      </x:c>
      <x:c r="D109" t="str">
        <x:v>Baseline</x:v>
      </x:c>
      <x:c r="E109" t="str">
        <x:v>COSA-P</x:v>
      </x:c>
      <x:c r="F109" s="4" t="n">
        <x:v>0.8914</x:v>
      </x:c>
      <x:c r="G109" s="4" t="n">
        <x:v>0.5186618566513062</x:v>
      </x:c>
      <x:c r="H109" s="4" t="n">
        <x:f>IF(OR(F109="",G109=""),"",F109-G109)</x:f>
        <x:v>0.3727381433486938</x:v>
      </x:c>
      <x:c r="I109" s="5" t="n">
        <x:f>IFERROR(H109/F109,"")</x:f>
        <x:v>0.4181491399469305</x:v>
      </x:c>
      <x:c r="J109" t="str">
        <x:f>IF(H109&gt;0,"Yes",IF(H109&lt;0,"No","Tie"))</x:f>
        <x:v>Yes</x:v>
      </x:c>
    </x:row>
    <x:row r="110">
      <x:c r="A110" t="str">
        <x:v>PatchTST</x:v>
      </x:c>
      <x:c r="B110" t="str">
        <x:v>weather</x:v>
      </x:c>
      <x:c r="C110" t="n">
        <x:v>96</x:v>
      </x:c>
      <x:c r="D110" t="str">
        <x:v>Baseline</x:v>
      </x:c>
      <x:c r="E110" t="str">
        <x:v>COSA-P</x:v>
      </x:c>
      <x:c r="F110" s="4" t="n">
        <x:v>0.17926666666666666</x:v>
      </x:c>
      <x:c r="G110" s="4" t="n">
        <x:v>0.17009616394837698</x:v>
      </x:c>
      <x:c r="H110" s="4" t="n">
        <x:f>IF(OR(F110="",G110=""),"",F110-G110)</x:f>
        <x:v>0.009170502718289675</x:v>
      </x:c>
      <x:c r="I110" s="5" t="n">
        <x:f>IFERROR(H110/F110,"")</x:f>
        <x:v>0.05115564922809414</x:v>
      </x:c>
      <x:c r="J110" t="str">
        <x:f>IF(H110&gt;0,"Yes",IF(H110&lt;0,"No","Tie"))</x:f>
        <x:v>Yes</x:v>
      </x:c>
    </x:row>
    <x:row r="111">
      <x:c r="A111" t="str">
        <x:v>PatchTST</x:v>
      </x:c>
      <x:c r="B111" t="str">
        <x:v>weather</x:v>
      </x:c>
      <x:c r="C111" t="n">
        <x:v>192</x:v>
      </x:c>
      <x:c r="D111" t="str">
        <x:v>Baseline</x:v>
      </x:c>
      <x:c r="E111" t="str">
        <x:v>COSA-P</x:v>
      </x:c>
      <x:c r="F111" s="4" t="n">
        <x:v>0.2265</x:v>
      </x:c>
      <x:c r="G111" s="4" t="n">
        <x:v>0.2233190288146337</x:v>
      </x:c>
      <x:c r="H111" s="4" t="n">
        <x:f>IF(OR(F111="",G111=""),"",F111-G111)</x:f>
        <x:v>0.0031809711853663103</x:v>
      </x:c>
      <x:c r="I111" s="5" t="n">
        <x:f>IFERROR(H111/F111,"")</x:f>
        <x:v>0.014044022893449493</x:v>
      </x:c>
      <x:c r="J111" t="str">
        <x:f>IF(H111&gt;0,"Yes",IF(H111&lt;0,"No","Tie"))</x:f>
        <x:v>Yes</x:v>
      </x:c>
    </x:row>
    <x:row r="112">
      <x:c r="A112" t="str">
        <x:v>PatchTST</x:v>
      </x:c>
      <x:c r="B112" t="str">
        <x:v>weather</x:v>
      </x:c>
      <x:c r="C112" t="n">
        <x:v>336</x:v>
      </x:c>
      <x:c r="D112" t="str">
        <x:v>Baseline</x:v>
      </x:c>
      <x:c r="E112" t="str">
        <x:v>COSA-P</x:v>
      </x:c>
      <x:c r="F112" s="4" t="n">
        <x:v>0.28106666666666663</x:v>
      </x:c>
      <x:c r="G112" s="4" t="n">
        <x:v>0.3303806285063426</x:v>
      </x:c>
      <x:c r="H112" s="4" t="n">
        <x:f>IF(OR(F112="",G112=""),"",F112-G112)</x:f>
        <x:v>-0.04931396183967596</x:v>
      </x:c>
      <x:c r="I112" s="5" t="n">
        <x:f>IFERROR(H112/F112,"")</x:f>
        <x:v>-0.1754529002834771</x:v>
      </x:c>
      <x:c r="J112" t="str">
        <x:f>IF(H112&gt;0,"Yes",IF(H112&lt;0,"No","Tie"))</x:f>
        <x:v>No</x:v>
      </x:c>
    </x:row>
    <x:row r="113">
      <x:c r="A113" t="str">
        <x:v>PatchTST</x:v>
      </x:c>
      <x:c r="B113" t="str">
        <x:v>weather</x:v>
      </x:c>
      <x:c r="C113" t="n">
        <x:v>720</x:v>
      </x:c>
      <x:c r="D113" t="str">
        <x:v>Baseline</x:v>
      </x:c>
      <x:c r="E113" t="str">
        <x:v>COSA-P</x:v>
      </x:c>
      <x:c r="F113" s="4" t="n">
        <x:v>0.35896666666666666</x:v>
      </x:c>
      <x:c r="G113" s="4" t="n">
        <x:v>0.3558332820733388</x:v>
      </x:c>
      <x:c r="H113" s="4" t="n">
        <x:f>IF(OR(F113="",G113=""),"",F113-G113)</x:f>
        <x:v>0.003133384593327848</x:v>
      </x:c>
      <x:c r="I113" s="5" t="n">
        <x:f>IFERROR(H113/F113,"")</x:f>
        <x:v>0.008728901272154838</x:v>
      </x:c>
      <x:c r="J113" t="str">
        <x:f>IF(H113&gt;0,"Yes",IF(H113&lt;0,"No","Tie"))</x:f>
        <x:v>Yes</x:v>
      </x:c>
    </x:row>
    <x:row r="114">
      <x:c r="A114" t="str">
        <x:v>OLS</x:v>
      </x:c>
      <x:c r="B114" t="str">
        <x:v>ETTh1</x:v>
      </x:c>
      <x:c r="C114" t="n">
        <x:v>96</x:v>
      </x:c>
      <x:c r="D114" t="str">
        <x:v>Baseline</x:v>
      </x:c>
      <x:c r="E114" t="str">
        <x:v>COSA-P</x:v>
      </x:c>
      <x:c r="F114" s="4" t="n">
        <x:v>0.4421</x:v>
      </x:c>
      <x:c r="G114" s="4" t="n">
        <x:v>0.4453522264957428</x:v>
      </x:c>
      <x:c r="H114" s="4" t="n">
        <x:f>IF(OR(F114="",G114=""),"",F114-G114)</x:f>
        <x:v>-0.003252226495742805</x:v>
      </x:c>
      <x:c r="I114" s="5" t="n">
        <x:f>IFERROR(H114/F114,"")</x:f>
        <x:v>-0.00735631417268221</x:v>
      </x:c>
      <x:c r="J114" t="str">
        <x:f>IF(H114&gt;0,"Yes",IF(H114&lt;0,"No","Tie"))</x:f>
        <x:v>No</x:v>
      </x:c>
    </x:row>
    <x:row r="115">
      <x:c r="A115" t="str">
        <x:v>OLS</x:v>
      </x:c>
      <x:c r="B115" t="str">
        <x:v>ETTh1</x:v>
      </x:c>
      <x:c r="C115" t="n">
        <x:v>192</x:v>
      </x:c>
      <x:c r="D115" t="str">
        <x:v>Baseline</x:v>
      </x:c>
      <x:c r="E115" t="str">
        <x:v>COSA-P</x:v>
      </x:c>
      <x:c r="F115" s="4" t="n">
        <x:v>0.4966333333333333</x:v>
      </x:c>
      <x:c r="G115" s="4" t="n">
        <x:v>0.5176496903101603</x:v>
      </x:c>
      <x:c r="H115" s="4" t="n">
        <x:f>IF(OR(F115="",G115=""),"",F115-G115)</x:f>
        <x:v>-0.021016356976826966</x:v>
      </x:c>
      <x:c r="I115" s="5" t="n">
        <x:f>IFERROR(H115/F115,"")</x:f>
        <x:v>-0.04231765281594799</x:v>
      </x:c>
      <x:c r="J115" t="str">
        <x:f>IF(H115&gt;0,"Yes",IF(H115&lt;0,"No","Tie"))</x:f>
        <x:v>No</x:v>
      </x:c>
    </x:row>
    <x:row r="116">
      <x:c r="A116" t="str">
        <x:v>OLS</x:v>
      </x:c>
      <x:c r="B116" t="str">
        <x:v>ETTh1</x:v>
      </x:c>
      <x:c r="C116" t="n">
        <x:v>336</x:v>
      </x:c>
      <x:c r="D116" t="str">
        <x:v>Baseline</x:v>
      </x:c>
      <x:c r="E116" t="str">
        <x:v>COSA-P</x:v>
      </x:c>
      <x:c r="F116" s="4" t="n">
        <x:v>0.5459</x:v>
      </x:c>
      <x:c r="G116" s="4" t="n">
        <x:v>0.5279630223910013</x:v>
      </x:c>
      <x:c r="H116" s="4" t="n">
        <x:f>IF(OR(F116="",G116=""),"",F116-G116)</x:f>
        <x:v>0.017936977608998705</x:v>
      </x:c>
      <x:c r="I116" s="5" t="n">
        <x:f>IFERROR(H116/F116,"")</x:f>
        <x:v>0.03285762522256586</x:v>
      </x:c>
      <x:c r="J116" t="str">
        <x:f>IF(H116&gt;0,"Yes",IF(H116&lt;0,"No","Tie"))</x:f>
        <x:v>Yes</x:v>
      </x:c>
    </x:row>
    <x:row r="117">
      <x:c r="A117" t="str">
        <x:v>OLS</x:v>
      </x:c>
      <x:c r="B117" t="str">
        <x:v>ETTh1</x:v>
      </x:c>
      <x:c r="C117" t="n">
        <x:v>720</x:v>
      </x:c>
      <x:c r="D117" t="str">
        <x:v>Baseline</x:v>
      </x:c>
      <x:c r="E117" t="str">
        <x:v>COSA-P</x:v>
      </x:c>
      <x:c r="F117" s="4" t="n">
        <x:v>0.6998333333333333</x:v>
      </x:c>
      <x:c r="G117" s="4" t="n">
        <x:v>0.586360494295756</x:v>
      </x:c>
      <x:c r="H117" s="4" t="n">
        <x:f>IF(OR(F117="",G117=""),"",F117-G117)</x:f>
        <x:v>0.11347283903757732</x:v>
      </x:c>
      <x:c r="I117" s="5" t="n">
        <x:f>IFERROR(H117/F117,"")</x:f>
        <x:v>0.16214266116348272</x:v>
      </x:c>
      <x:c r="J117" t="str">
        <x:f>IF(H117&gt;0,"Yes",IF(H117&lt;0,"No","Tie"))</x:f>
        <x:v>Yes</x:v>
      </x:c>
    </x:row>
    <x:row r="118">
      <x:c r="A118" t="str">
        <x:v>OLS</x:v>
      </x:c>
      <x:c r="B118" t="str">
        <x:v>ETTh2</x:v>
      </x:c>
      <x:c r="C118" t="n">
        <x:v>96</x:v>
      </x:c>
      <x:c r="D118" t="str">
        <x:v>Baseline</x:v>
      </x:c>
      <x:c r="E118" t="str">
        <x:v>COSA-P</x:v>
      </x:c>
      <x:c r="F118" s="4" t="n">
        <x:v>0.17953333333333332</x:v>
      </x:c>
      <x:c r="G118" s="4" t="n">
        <x:v>0.17890740931034088</x:v>
      </x:c>
      <x:c r="H118" s="4" t="n">
        <x:f>IF(OR(F118="",G118=""),"",F118-G118)</x:f>
        <x:v>0.0006259240229924412</x:v>
      </x:c>
      <x:c r="I118" s="5" t="n">
        <x:f>IFERROR(H118/F118,"")</x:f>
        <x:v>0.0034863944838049083</x:v>
      </x:c>
      <x:c r="J118" t="str">
        <x:f>IF(H118&gt;0,"Yes",IF(H118&lt;0,"No","Tie"))</x:f>
        <x:v>Yes</x:v>
      </x:c>
    </x:row>
    <x:row r="119">
      <x:c r="A119" t="str">
        <x:v>OLS</x:v>
      </x:c>
      <x:c r="B119" t="str">
        <x:v>ETTh2</x:v>
      </x:c>
      <x:c r="C119" t="n">
        <x:v>192</x:v>
      </x:c>
      <x:c r="D119" t="str">
        <x:v>Baseline</x:v>
      </x:c>
      <x:c r="E119" t="str">
        <x:v>COSA-P</x:v>
      </x:c>
      <x:c r="F119" s="4" t="n">
        <x:v>0.22116666666666668</x:v>
      </x:c>
      <x:c r="G119" s="4" t="n">
        <x:v>0.23176731169223785</x:v>
      </x:c>
      <x:c r="H119" s="4" t="n">
        <x:f>IF(OR(F119="",G119=""),"",F119-G119)</x:f>
        <x:v>-0.010600645025571176</x:v>
      </x:c>
      <x:c r="I119" s="5" t="n">
        <x:f>IFERROR(H119/F119,"")</x:f>
        <x:v>-0.047930572836041484</x:v>
      </x:c>
      <x:c r="J119" t="str">
        <x:f>IF(H119&gt;0,"Yes",IF(H119&lt;0,"No","Tie"))</x:f>
        <x:v>No</x:v>
      </x:c>
    </x:row>
    <x:row r="120">
      <x:c r="A120" t="str">
        <x:v>OLS</x:v>
      </x:c>
      <x:c r="B120" t="str">
        <x:v>ETTh2</x:v>
      </x:c>
      <x:c r="C120" t="n">
        <x:v>336</x:v>
      </x:c>
      <x:c r="D120" t="str">
        <x:v>Baseline</x:v>
      </x:c>
      <x:c r="E120" t="str">
        <x:v>COSA-P</x:v>
      </x:c>
      <x:c r="F120" s="4" t="n">
        <x:v>0.2524666666666667</x:v>
      </x:c>
      <x:c r="G120" s="4" t="n">
        <x:v>0.25303077697753906</x:v>
      </x:c>
      <x:c r="H120" s="4" t="n">
        <x:f>IF(OR(F120="",G120=""),"",F120-G120)</x:f>
        <x:v>-0.0005641103108723899</x:v>
      </x:c>
      <x:c r="I120" s="5" t="n">
        <x:f>IFERROR(H120/F120,"")</x:f>
        <x:v>-0.0022343952107435564</x:v>
      </x:c>
      <x:c r="J120" t="str">
        <x:f>IF(H120&gt;0,"Yes",IF(H120&lt;0,"No","Tie"))</x:f>
        <x:v>No</x:v>
      </x:c>
    </x:row>
    <x:row r="121">
      <x:c r="A121" t="str">
        <x:v>OLS</x:v>
      </x:c>
      <x:c r="B121" t="str">
        <x:v>ETTh2</x:v>
      </x:c>
      <x:c r="C121" t="n">
        <x:v>720</x:v>
      </x:c>
      <x:c r="D121" t="str">
        <x:v>Baseline</x:v>
      </x:c>
      <x:c r="E121" t="str">
        <x:v>COSA-P</x:v>
      </x:c>
      <x:c r="F121" s="4" t="n">
        <x:v>0.32626666666666665</x:v>
      </x:c>
      <x:c r="G121" s="4" t="n">
        <x:v>0.2764197885990143</x:v>
      </x:c>
      <x:c r="H121" s="4" t="n">
        <x:f>IF(OR(F121="",G121=""),"",F121-G121)</x:f>
        <x:v>0.04984687806765237</x:v>
      </x:c>
      <x:c r="I121" s="5" t="n">
        <x:f>IFERROR(H121/F121,"")</x:f>
        <x:v>0.15277956089390796</x:v>
      </x:c>
      <x:c r="J121" t="str">
        <x:f>IF(H121&gt;0,"Yes",IF(H121&lt;0,"No","Tie"))</x:f>
        <x:v>Yes</x:v>
      </x:c>
    </x:row>
    <x:row r="122">
      <x:c r="A122" t="str">
        <x:v>OLS</x:v>
      </x:c>
      <x:c r="B122" t="str">
        <x:v>ETTm1</x:v>
      </x:c>
      <x:c r="C122" t="n">
        <x:v>96</x:v>
      </x:c>
      <x:c r="D122" t="str">
        <x:v>Baseline</x:v>
      </x:c>
      <x:c r="E122" t="str">
        <x:v>COSA-P</x:v>
      </x:c>
      <x:c r="F122" s="4" t="n">
        <x:v>0.3623</x:v>
      </x:c>
      <x:c r="G122" s="4" t="n">
        <x:v>0.3441750705242157</x:v>
      </x:c>
      <x:c r="H122" s="4" t="n">
        <x:f>IF(OR(F122="",G122=""),"",F122-G122)</x:f>
        <x:v>0.018124929475784313</x:v>
      </x:c>
      <x:c r="I122" s="5" t="n">
        <x:f>IFERROR(H122/F122,"")</x:f>
        <x:v>0.05002740677831717</x:v>
      </x:c>
      <x:c r="J122" t="str">
        <x:f>IF(H122&gt;0,"Yes",IF(H122&lt;0,"No","Tie"))</x:f>
        <x:v>Yes</x:v>
      </x:c>
    </x:row>
    <x:row r="123">
      <x:c r="A123" t="str">
        <x:v>OLS</x:v>
      </x:c>
      <x:c r="B123" t="str">
        <x:v>ETTm1</x:v>
      </x:c>
      <x:c r="C123" t="n">
        <x:v>192</x:v>
      </x:c>
      <x:c r="D123" t="str">
        <x:v>Baseline</x:v>
      </x:c>
      <x:c r="E123" t="str">
        <x:v>COSA-P</x:v>
      </x:c>
      <x:c r="F123" s="4" t="n">
        <x:v>0.43243333333333334</x:v>
      </x:c>
      <x:c r="G123" s="4" t="n">
        <x:v>0.41722679138183594</x:v>
      </x:c>
      <x:c r="H123" s="4" t="n">
        <x:f>IF(OR(F123="",G123=""),"",F123-G123)</x:f>
        <x:v>0.015206541951497399</x:v>
      </x:c>
      <x:c r="I123" s="5" t="n">
        <x:f>IFERROR(H123/F123,"")</x:f>
        <x:v>0.03516505500230648</x:v>
      </x:c>
      <x:c r="J123" t="str">
        <x:f>IF(H123&gt;0,"Yes",IF(H123&lt;0,"No","Tie"))</x:f>
        <x:v>Yes</x:v>
      </x:c>
    </x:row>
    <x:row r="124">
      <x:c r="A124" t="str">
        <x:v>OLS</x:v>
      </x:c>
      <x:c r="B124" t="str">
        <x:v>ETTm1</x:v>
      </x:c>
      <x:c r="C124" t="n">
        <x:v>336</x:v>
      </x:c>
      <x:c r="D124" t="str">
        <x:v>Baseline</x:v>
      </x:c>
      <x:c r="E124" t="str">
        <x:v>COSA-P</x:v>
      </x:c>
      <x:c r="F124" s="4" t="n">
        <x:v>0.505</x:v>
      </x:c>
      <x:c r="G124" s="4" t="n">
        <x:v>0.4976426462332408</x:v>
      </x:c>
      <x:c r="H124" s="4" t="n">
        <x:f>IF(OR(F124="",G124=""),"",F124-G124)</x:f>
        <x:v>0.007357353766759223</x:v>
      </x:c>
      <x:c r="I124" s="5" t="n">
        <x:f>IFERROR(H124/F124,"")</x:f>
        <x:v>0.014569017359919252</x:v>
      </x:c>
      <x:c r="J124" t="str">
        <x:f>IF(H124&gt;0,"Yes",IF(H124&lt;0,"No","Tie"))</x:f>
        <x:v>Yes</x:v>
      </x:c>
    </x:row>
    <x:row r="125">
      <x:c r="A125" t="str">
        <x:v>OLS</x:v>
      </x:c>
      <x:c r="B125" t="str">
        <x:v>ETTm1</x:v>
      </x:c>
      <x:c r="C125" t="n">
        <x:v>720</x:v>
      </x:c>
      <x:c r="D125" t="str">
        <x:v>Baseline</x:v>
      </x:c>
      <x:c r="E125" t="str">
        <x:v>COSA-P</x:v>
      </x:c>
      <x:c r="F125" s="4" t="n">
        <x:v>0.5793</x:v>
      </x:c>
      <x:c r="G125" s="4" t="n">
        <x:v>0.580982506275177</x:v>
      </x:c>
      <x:c r="H125" s="4" t="n">
        <x:f>IF(OR(F125="",G125=""),"",F125-G125)</x:f>
        <x:v>-0.0016825062751769648</x:v>
      </x:c>
      <x:c r="I125" s="5" t="n">
        <x:f>IFERROR(H125/F125,"")</x:f>
        <x:v>-0.0029043781722371217</x:v>
      </x:c>
      <x:c r="J125" t="str">
        <x:f>IF(H125&gt;0,"Yes",IF(H125&lt;0,"No","Tie"))</x:f>
        <x:v>No</x:v>
      </x:c>
    </x:row>
    <x:row r="126">
      <x:c r="A126" t="str">
        <x:v>OLS</x:v>
      </x:c>
      <x:c r="B126" t="str">
        <x:v>ETTm2</x:v>
      </x:c>
      <x:c r="C126" t="n">
        <x:v>96</x:v>
      </x:c>
      <x:c r="D126" t="str">
        <x:v>Baseline</x:v>
      </x:c>
      <x:c r="E126" t="str">
        <x:v>COSA-P</x:v>
      </x:c>
      <x:c r="F126" s="4" t="n">
        <x:v>0.12133333333333333</x:v>
      </x:c>
      <x:c r="G126" s="4" t="n">
        <x:v>0.12187471240758896</x:v>
      </x:c>
      <x:c r="H126" s="4" t="n">
        <x:f>IF(OR(F126="",G126=""),"",F126-G126)</x:f>
        <x:v>-0.000541379074255624</x:v>
      </x:c>
      <x:c r="I126" s="5" t="n">
        <x:f>IFERROR(H126/F126,"")</x:f>
        <x:v>-0.004461915447161737</x:v>
      </x:c>
      <x:c r="J126" t="str">
        <x:f>IF(H126&gt;0,"Yes",IF(H126&lt;0,"No","Tie"))</x:f>
        <x:v>No</x:v>
      </x:c>
    </x:row>
    <x:row r="127">
      <x:c r="A127" t="str">
        <x:v>OLS</x:v>
      </x:c>
      <x:c r="B127" t="str">
        <x:v>ETTm2</x:v>
      </x:c>
      <x:c r="C127" t="n">
        <x:v>192</x:v>
      </x:c>
      <x:c r="D127" t="str">
        <x:v>Baseline</x:v>
      </x:c>
      <x:c r="E127" t="str">
        <x:v>COSA-P</x:v>
      </x:c>
      <x:c r="F127" s="4" t="n">
        <x:v>0.1497</x:v>
      </x:c>
      <x:c r="G127" s="4" t="n">
        <x:v>0.15484239161014557</x:v>
      </x:c>
      <x:c r="H127" s="4" t="n">
        <x:f>IF(OR(F127="",G127=""),"",F127-G127)</x:f>
        <x:v>-0.005142391610145569</x:v>
      </x:c>
      <x:c r="I127" s="5" t="n">
        <x:f>IFERROR(H127/F127,"")</x:f>
        <x:v>-0.03435131336102584</x:v>
      </x:c>
      <x:c r="J127" t="str">
        <x:f>IF(H127&gt;0,"Yes",IF(H127&lt;0,"No","Tie"))</x:f>
        <x:v>No</x:v>
      </x:c>
    </x:row>
    <x:row r="128">
      <x:c r="A128" t="str">
        <x:v>OLS</x:v>
      </x:c>
      <x:c r="B128" t="str">
        <x:v>ETTm2</x:v>
      </x:c>
      <x:c r="C128" t="n">
        <x:v>336</x:v>
      </x:c>
      <x:c r="D128" t="str">
        <x:v>Baseline</x:v>
      </x:c>
      <x:c r="E128" t="str">
        <x:v>COSA-P</x:v>
      </x:c>
      <x:c r="F128" s="4" t="n">
        <x:v>0.18306666666666668</x:v>
      </x:c>
      <x:c r="G128" s="4" t="n">
        <x:v>0.19286707043647766</x:v>
      </x:c>
      <x:c r="H128" s="4" t="n">
        <x:f>IF(OR(F128="",G128=""),"",F128-G128)</x:f>
        <x:v>-0.009800403769810978</x:v>
      </x:c>
      <x:c r="I128" s="5" t="n">
        <x:f>IFERROR(H128/F128,"")</x:f>
        <x:v>-0.05353461636823185</x:v>
      </x:c>
      <x:c r="J128" t="str">
        <x:f>IF(H128&gt;0,"Yes",IF(H128&lt;0,"No","Tie"))</x:f>
        <x:v>No</x:v>
      </x:c>
    </x:row>
    <x:row r="129">
      <x:c r="A129" t="str">
        <x:v>OLS</x:v>
      </x:c>
      <x:c r="B129" t="str">
        <x:v>ETTm2</x:v>
      </x:c>
      <x:c r="C129" t="n">
        <x:v>720</x:v>
      </x:c>
      <x:c r="D129" t="str">
        <x:v>Baseline</x:v>
      </x:c>
      <x:c r="E129" t="str">
        <x:v>COSA-P</x:v>
      </x:c>
      <x:c r="F129" s="4" t="n">
        <x:v>0.24123333333333333</x:v>
      </x:c>
      <x:c r="G129" s="4" t="n">
        <x:v>0.2479599565267563</x:v>
      </x:c>
      <x:c r="H129" s="4" t="n">
        <x:f>IF(OR(F129="",G129=""),"",F129-G129)</x:f>
        <x:v>-0.006726623193422959</x:v>
      </x:c>
      <x:c r="I129" s="5" t="n">
        <x:f>IFERROR(H129/F129,"")</x:f>
        <x:v>-0.027884302307957548</x:v>
      </x:c>
      <x:c r="J129" t="str">
        <x:f>IF(H129&gt;0,"Yes",IF(H129&lt;0,"No","Tie"))</x:f>
        <x:v>No</x:v>
      </x:c>
    </x:row>
    <x:row r="130">
      <x:c r="A130" t="str">
        <x:v>OLS</x:v>
      </x:c>
      <x:c r="B130" t="str">
        <x:v>Exchange Rate</x:v>
      </x:c>
      <x:c r="C130" t="n">
        <x:v>96</x:v>
      </x:c>
      <x:c r="D130" t="str">
        <x:v>Baseline</x:v>
      </x:c>
      <x:c r="E130" t="str">
        <x:v>COSA-P</x:v>
      </x:c>
      <x:c r="F130" s="4" t="n">
        <x:v>0.08143333333333333</x:v>
      </x:c>
      <x:c r="G130" s="4" t="n">
        <x:v>0.07816929866870244</x:v>
      </x:c>
      <x:c r="H130" s="4" t="n">
        <x:f>IF(OR(F130="",G130=""),"",F130-G130)</x:f>
        <x:v>0.003264034664630891</x:v>
      </x:c>
      <x:c r="I130" s="5" t="n">
        <x:f>IFERROR(H130/F130,"")</x:f>
        <x:v>0.040082292238611025</x:v>
      </x:c>
      <x:c r="J130" t="str">
        <x:f>IF(H130&gt;0,"Yes",IF(H130&lt;0,"No","Tie"))</x:f>
        <x:v>Yes</x:v>
      </x:c>
    </x:row>
    <x:row r="131">
      <x:c r="A131" t="str">
        <x:v>OLS</x:v>
      </x:c>
      <x:c r="B131" t="str">
        <x:v>Exchange Rate</x:v>
      </x:c>
      <x:c r="C131" t="n">
        <x:v>192</x:v>
      </x:c>
      <x:c r="D131" t="str">
        <x:v>Baseline</x:v>
      </x:c>
      <x:c r="E131" t="str">
        <x:v>COSA-P</x:v>
      </x:c>
      <x:c r="F131" s="4" t="n">
        <x:v>0.1722</x:v>
      </x:c>
      <x:c r="G131" s="4" t="n">
        <x:v>0.1575752298037211</x:v>
      </x:c>
      <x:c r="H131" s="4" t="n">
        <x:f>IF(OR(F131="",G131=""),"",F131-G131)</x:f>
        <x:v>0.014624770196278891</x:v>
      </x:c>
      <x:c r="I131" s="5" t="n">
        <x:f>IFERROR(H131/F131,"")</x:f>
        <x:v>0.08492897907246744</x:v>
      </x:c>
      <x:c r="J131" t="str">
        <x:f>IF(H131&gt;0,"Yes",IF(H131&lt;0,"No","Tie"))</x:f>
        <x:v>Yes</x:v>
      </x:c>
    </x:row>
    <x:row r="132">
      <x:c r="A132" t="str">
        <x:v>OLS</x:v>
      </x:c>
      <x:c r="B132" t="str">
        <x:v>Exchange Rate</x:v>
      </x:c>
      <x:c r="C132" t="n">
        <x:v>336</x:v>
      </x:c>
      <x:c r="D132" t="str">
        <x:v>Baseline</x:v>
      </x:c>
      <x:c r="E132" t="str">
        <x:v>COSA-P</x:v>
      </x:c>
      <x:c r="F132" s="4" t="n">
        <x:v>0.32256666666666667</x:v>
      </x:c>
      <x:c r="G132" s="4" t="n">
        <x:v>0.2708100179831187</x:v>
      </x:c>
      <x:c r="H132" s="4" t="n">
        <x:f>IF(OR(F132="",G132=""),"",F132-G132)</x:f>
        <x:v>0.05175664868354796</x:v>
      </x:c>
      <x:c r="I132" s="5" t="n">
        <x:f>IFERROR(H132/F132,"")</x:f>
        <x:v>0.16045256386343273</x:v>
      </x:c>
      <x:c r="J132" t="str">
        <x:f>IF(H132&gt;0,"Yes",IF(H132&lt;0,"No","Tie"))</x:f>
        <x:v>Yes</x:v>
      </x:c>
    </x:row>
    <x:row r="133">
      <x:c r="A133" t="str">
        <x:v>OLS</x:v>
      </x:c>
      <x:c r="B133" t="str">
        <x:v>Exchange Rate</x:v>
      </x:c>
      <x:c r="C133" t="n">
        <x:v>720</x:v>
      </x:c>
      <x:c r="D133" t="str">
        <x:v>Baseline</x:v>
      </x:c>
      <x:c r="E133" t="str">
        <x:v>COSA-P</x:v>
      </x:c>
      <x:c r="F133" s="4" t="n">
        <x:v>0.8359333333333333</x:v>
      </x:c>
      <x:c r="G133" s="4" t="n">
        <x:v>0.49643686413764954</x:v>
      </x:c>
      <x:c r="H133" s="4" t="n">
        <x:f>IF(OR(F133="",G133=""),"",F133-G133)</x:f>
        <x:v>0.33949646919568377</x:v>
      </x:c>
      <x:c r="I133" s="5" t="n">
        <x:f>IFERROR(H133/F133,"")</x:f>
        <x:v>0.4061286416728014</x:v>
      </x:c>
      <x:c r="J133" t="str">
        <x:f>IF(H133&gt;0,"Yes",IF(H133&lt;0,"No","Tie"))</x:f>
        <x:v>Yes</x:v>
      </x:c>
    </x:row>
    <x:row r="134">
      <x:c r="A134" t="str">
        <x:v>OLS</x:v>
      </x:c>
      <x:c r="B134" t="str">
        <x:v>weather</x:v>
      </x:c>
      <x:c r="C134" t="n">
        <x:v>96</x:v>
      </x:c>
      <x:c r="D134" t="str">
        <x:v>Baseline</x:v>
      </x:c>
      <x:c r="E134" t="str">
        <x:v>COSA-P</x:v>
      </x:c>
      <x:c r="F134" s="4" t="n">
        <x:v>0.19506666666666667</x:v>
      </x:c>
      <x:c r="G134" s="4" t="n">
        <x:v>0.1877320408821106</x:v>
      </x:c>
      <x:c r="H134" s="4" t="n">
        <x:f>IF(OR(F134="",G134=""),"",F134-G134)</x:f>
        <x:v>0.00733462578455607</x:v>
      </x:c>
      <x:c r="I134" s="5" t="n">
        <x:f>IFERROR(H134/F134,"")</x:f>
        <x:v>0.03760061065220132</x:v>
      </x:c>
      <x:c r="J134" t="str">
        <x:f>IF(H134&gt;0,"Yes",IF(H134&lt;0,"No","Tie"))</x:f>
        <x:v>Yes</x:v>
      </x:c>
    </x:row>
    <x:row r="135">
      <x:c r="A135" t="str">
        <x:v>OLS</x:v>
      </x:c>
      <x:c r="B135" t="str">
        <x:v>weather</x:v>
      </x:c>
      <x:c r="C135" t="n">
        <x:v>192</x:v>
      </x:c>
      <x:c r="D135" t="str">
        <x:v>Baseline</x:v>
      </x:c>
      <x:c r="E135" t="str">
        <x:v>COSA-P</x:v>
      </x:c>
      <x:c r="F135" s="4" t="n">
        <x:v>0.2402</x:v>
      </x:c>
      <x:c r="G135" s="4" t="n">
        <x:v>0.24211193124453226</x:v>
      </x:c>
      <x:c r="H135" s="4" t="n">
        <x:f>IF(OR(F135="",G135=""),"",F135-G135)</x:f>
        <x:v>-0.0019119312445322612</x:v>
      </x:c>
      <x:c r="I135" s="5" t="n">
        <x:f>IFERROR(H135/F135,"")</x:f>
        <x:v>-0.007959747062998589</x:v>
      </x:c>
      <x:c r="J135" t="str">
        <x:f>IF(H135&gt;0,"Yes",IF(H135&lt;0,"No","Tie"))</x:f>
        <x:v>No</x:v>
      </x:c>
    </x:row>
    <x:row r="136">
      <x:c r="A136" t="str">
        <x:v>OLS</x:v>
      </x:c>
      <x:c r="B136" t="str">
        <x:v>weather</x:v>
      </x:c>
      <x:c r="C136" t="n">
        <x:v>336</x:v>
      </x:c>
      <x:c r="D136" t="str">
        <x:v>Baseline</x:v>
      </x:c>
      <x:c r="E136" t="str">
        <x:v>COSA-P</x:v>
      </x:c>
      <x:c r="F136" s="4" t="n">
        <x:v>0.2919333333333333</x:v>
      </x:c>
      <x:c r="G136" s="4" t="n">
        <x:v>0.34887321790059406</x:v>
      </x:c>
      <x:c r="H136" s="4" t="n">
        <x:f>IF(OR(F136="",G136=""),"",F136-G136)</x:f>
        <x:v>-0.056939884567260735</x:v>
      </x:c>
      <x:c r="I136" s="5" t="n">
        <x:f>IFERROR(H136/F136,"")</x:f>
        <x:v>-0.19504413530689907</x:v>
      </x:c>
      <x:c r="J136" t="str">
        <x:f>IF(H136&gt;0,"Yes",IF(H136&lt;0,"No","Tie"))</x:f>
        <x:v>No</x:v>
      </x:c>
    </x:row>
    <x:row r="137">
      <x:c r="A137" t="str">
        <x:v>OLS</x:v>
      </x:c>
      <x:c r="B137" t="str">
        <x:v>weather</x:v>
      </x:c>
      <x:c r="C137" t="n">
        <x:v>720</x:v>
      </x:c>
      <x:c r="D137" t="str">
        <x:v>Baseline</x:v>
      </x:c>
      <x:c r="E137" t="str">
        <x:v>COSA-P</x:v>
      </x:c>
      <x:c r="F137" s="4" t="n">
        <x:v>0.36423333333333335</x:v>
      </x:c>
      <x:c r="G137" s="4" t="n">
        <x:v>0.3716016908486684</x:v>
      </x:c>
      <x:c r="H137" s="4" t="n">
        <x:f>IF(OR(F137="",G137=""),"",F137-G137)</x:f>
        <x:v>-0.0073683575153350445</x:v>
      </x:c>
      <x:c r="I137" s="5" t="n">
        <x:f>IFERROR(H137/F137,"")</x:f>
        <x:v>-0.020229772623780666</x:v>
      </x:c>
      <x:c r="J137" t="str">
        <x:f>IF(H137&gt;0,"Yes",IF(H137&lt;0,"No","Tie"))</x:f>
        <x:v>No</x:v>
      </x:c>
    </x:row>
    <x:row r="138">
      <x:c r="A138" t="str">
        <x:v>OLS</x:v>
      </x:c>
      <x:c r="B138" t="str">
        <x:v>electricity</x:v>
      </x:c>
      <x:c r="C138" t="n">
        <x:v>96</x:v>
      </x:c>
      <x:c r="D138" t="str">
        <x:v>Baseline</x:v>
      </x:c>
      <x:c r="E138" t="str">
        <x:v>COSA-P</x:v>
      </x:c>
      <x:c r="F138" s="4" t="n">
        <x:v>0.1974</x:v>
      </x:c>
      <x:c r="G138" s="4" t="n">
        <x:v>0.1969328224658966</x:v>
      </x:c>
      <x:c r="H138" s="4" t="n">
        <x:f>IF(OR(F138="",G138=""),"",F138-G138)</x:f>
        <x:v>0.0004671775341033857</x:v>
      </x:c>
      <x:c r="I138" s="5" t="n">
        <x:f>IFERROR(H138/F138,"")</x:f>
        <x:v>0.002366654174789188</x:v>
      </x:c>
      <x:c r="J138" t="str">
        <x:f>IF(H138&gt;0,"Yes",IF(H138&lt;0,"No","Tie"))</x:f>
        <x:v>Yes</x:v>
      </x:c>
    </x:row>
    <x:row r="139">
      <x:c r="A139" t="str">
        <x:v>OLS</x:v>
      </x:c>
      <x:c r="B139" t="str">
        <x:v>electricity</x:v>
      </x:c>
      <x:c r="C139" t="n">
        <x:v>192</x:v>
      </x:c>
      <x:c r="D139" t="str">
        <x:v>Baseline</x:v>
      </x:c>
      <x:c r="E139" t="str">
        <x:v>COSA-P</x:v>
      </x:c>
      <x:c r="F139" s="4" t="n">
        <x:v>0.19723333333333332</x:v>
      </x:c>
      <x:c r="G139" s="4" t="n">
        <x:v>0.19393335282802582</x:v>
      </x:c>
      <x:c r="H139" s="4" t="n">
        <x:f>IF(OR(F139="",G139=""),"",F139-G139)</x:f>
        <x:v>0.003299980505307498</x:v>
      </x:c>
      <x:c r="I139" s="5" t="n">
        <x:f>IFERROR(H139/F139,"")</x:f>
        <x:v>0.016731352908437545</x:v>
      </x:c>
      <x:c r="J139" t="str">
        <x:f>IF(H139&gt;0,"Yes",IF(H139&lt;0,"No","Tie"))</x:f>
        <x:v>Yes</x:v>
      </x:c>
    </x:row>
    <x:row r="140">
      <x:c r="A140" t="str">
        <x:v>OLS</x:v>
      </x:c>
      <x:c r="B140" t="str">
        <x:v>electricity</x:v>
      </x:c>
      <x:c r="C140" t="n">
        <x:v>336</x:v>
      </x:c>
      <x:c r="D140" t="str">
        <x:v>Baseline</x:v>
      </x:c>
      <x:c r="E140" t="str">
        <x:v>COSA-P</x:v>
      </x:c>
      <x:c r="F140" s="4" t="n">
        <x:v>0.21183333333333332</x:v>
      </x:c>
      <x:c r="G140" s="4" t="n">
        <x:v>0.2011847843726476</x:v>
      </x:c>
      <x:c r="H140" s="4" t="n">
        <x:f>IF(OR(F140="",G140=""),"",F140-G140)</x:f>
        <x:v>0.010648548960685705</x:v>
      </x:c>
      <x:c r="I140" s="5" t="n">
        <x:f>IFERROR(H140/F140,"")</x:f>
        <x:v>0.050268523811262185</x:v>
      </x:c>
      <x:c r="J140" t="str">
        <x:f>IF(H140&gt;0,"Yes",IF(H140&lt;0,"No","Tie"))</x:f>
        <x:v>Yes</x:v>
      </x:c>
    </x:row>
    <x:row r="141">
      <x:c r="A141" t="str">
        <x:v>MICN</x:v>
      </x:c>
      <x:c r="B141" t="str">
        <x:v>ETTh1</x:v>
      </x:c>
      <x:c r="C141" t="n">
        <x:v>96</x:v>
      </x:c>
      <x:c r="D141" t="str">
        <x:v>Baseline</x:v>
      </x:c>
      <x:c r="E141" t="str">
        <x:v>COSA-P</x:v>
      </x:c>
      <x:c r="F141" s="4" t="n">
        <x:v>0.5860333333333333</x:v>
      </x:c>
      <x:c r="G141" s="4" t="n">
        <x:v>0.5378080606460571</x:v>
      </x:c>
      <x:c r="H141" s="4" t="n">
        <x:f>IF(OR(F141="",G141=""),"",F141-G141)</x:f>
        <x:v>0.048225272687276166</x:v>
      </x:c>
      <x:c r="I141" s="5" t="n">
        <x:f>IFERROR(H141/F141,"")</x:f>
        <x:v>0.08229100623504267</x:v>
      </x:c>
      <x:c r="J141" t="str">
        <x:f>IF(H141&gt;0,"Yes",IF(H141&lt;0,"No","Tie"))</x:f>
        <x:v>Yes</x:v>
      </x:c>
    </x:row>
    <x:row r="142">
      <x:c r="A142" t="str">
        <x:v>MICN</x:v>
      </x:c>
      <x:c r="B142" t="str">
        <x:v>ETTh1</x:v>
      </x:c>
      <x:c r="C142" t="n">
        <x:v>192</x:v>
      </x:c>
      <x:c r="D142" t="str">
        <x:v>Baseline</x:v>
      </x:c>
      <x:c r="E142" t="str">
        <x:v>COSA-P</x:v>
      </x:c>
      <x:c r="F142" s="4" t="n">
        <x:v>0.6541333333333333</x:v>
      </x:c>
      <x:c r="G142" s="4" t="n">
        <x:v>0.6114283402760824</x:v>
      </x:c>
      <x:c r="H142" s="4" t="n">
        <x:f>IF(OR(F142="",G142=""),"",F142-G142)</x:f>
        <x:v>0.04270499305725095</x:v>
      </x:c>
      <x:c r="I142" s="5" t="n">
        <x:f>IFERROR(H142/F142,"")</x:f>
        <x:v>0.06528484466558951</x:v>
      </x:c>
      <x:c r="J142" t="str">
        <x:f>IF(H142&gt;0,"Yes",IF(H142&lt;0,"No","Tie"))</x:f>
        <x:v>Yes</x:v>
      </x:c>
    </x:row>
    <x:row r="143">
      <x:c r="A143" t="str">
        <x:v>MICN</x:v>
      </x:c>
      <x:c r="B143" t="str">
        <x:v>ETTh1</x:v>
      </x:c>
      <x:c r="C143" t="n">
        <x:v>336</x:v>
      </x:c>
      <x:c r="D143" t="str">
        <x:v>Baseline</x:v>
      </x:c>
      <x:c r="E143" t="str">
        <x:v>COSA-P</x:v>
      </x:c>
      <x:c r="F143" s="4" t="n">
        <x:v>0.6753666666666667</x:v>
      </x:c>
      <x:c r="G143" s="4" t="n">
        <x:v>0.6264163851737976</x:v>
      </x:c>
      <x:c r="H143" s="4" t="n">
        <x:f>IF(OR(F143="",G143=""),"",F143-G143)</x:f>
        <x:v>0.04895028149286906</x:v>
      </x:c>
      <x:c r="I143" s="5" t="n">
        <x:f>IFERROR(H143/F143,"")</x:f>
        <x:v>0.07247956393001688</x:v>
      </x:c>
      <x:c r="J143" t="str">
        <x:f>IF(H143&gt;0,"Yes",IF(H143&lt;0,"No","Tie"))</x:f>
        <x:v>Yes</x:v>
      </x:c>
    </x:row>
    <x:row r="144">
      <x:c r="A144" t="str">
        <x:v>MICN</x:v>
      </x:c>
      <x:c r="B144" t="str">
        <x:v>ETTh1</x:v>
      </x:c>
      <x:c r="C144" t="n">
        <x:v>720</x:v>
      </x:c>
      <x:c r="D144" t="str">
        <x:v>Baseline</x:v>
      </x:c>
      <x:c r="E144" t="str">
        <x:v>COSA-P</x:v>
      </x:c>
      <x:c r="F144" s="4" t="n">
        <x:v>0.8918666666666667</x:v>
      </x:c>
      <x:c r="G144" s="4" t="n">
        <x:v>0.6502132415771484</x:v>
      </x:c>
      <x:c r="H144" s="4" t="n">
        <x:f>IF(OR(F144="",G144=""),"",F144-G144)</x:f>
        <x:v>0.24165342508951826</x:v>
      </x:c>
      <x:c r="I144" s="5" t="n">
        <x:f>IFERROR(H144/F144,"")</x:f>
        <x:v>0.2709524126433528</x:v>
      </x:c>
      <x:c r="J144" t="str">
        <x:f>IF(H144&gt;0,"Yes",IF(H144&lt;0,"No","Tie"))</x:f>
        <x:v>Yes</x:v>
      </x:c>
    </x:row>
    <x:row r="145">
      <x:c r="A145" t="str">
        <x:v>MICN</x:v>
      </x:c>
      <x:c r="B145" t="str">
        <x:v>ETTh2</x:v>
      </x:c>
      <x:c r="C145" t="n">
        <x:v>96</x:v>
      </x:c>
      <x:c r="D145" t="str">
        <x:v>Baseline</x:v>
      </x:c>
      <x:c r="E145" t="str">
        <x:v>COSA-P</x:v>
      </x:c>
      <x:c r="F145" s="4" t="n">
        <x:v>0.19316666666666668</x:v>
      </x:c>
      <x:c r="G145" s="4" t="n">
        <x:v>0.18941648801167807</x:v>
      </x:c>
      <x:c r="H145" s="4" t="n">
        <x:f>IF(OR(F145="",G145=""),"",F145-G145)</x:f>
        <x:v>0.003750178654988612</x:v>
      </x:c>
      <x:c r="I145" s="5" t="n">
        <x:f>IFERROR(H145/F145,"")</x:f>
        <x:v>0.019414212191485477</x:v>
      </x:c>
      <x:c r="J145" t="str">
        <x:f>IF(H145&gt;0,"Yes",IF(H145&lt;0,"No","Tie"))</x:f>
        <x:v>Yes</x:v>
      </x:c>
    </x:row>
    <x:row r="146">
      <x:c r="A146" t="str">
        <x:v>MICN</x:v>
      </x:c>
      <x:c r="B146" t="str">
        <x:v>ETTh2</x:v>
      </x:c>
      <x:c r="C146" t="n">
        <x:v>192</x:v>
      </x:c>
      <x:c r="D146" t="str">
        <x:v>Baseline</x:v>
      </x:c>
      <x:c r="E146" t="str">
        <x:v>COSA-P</x:v>
      </x:c>
      <x:c r="F146" s="4" t="n">
        <x:v>0.2413</x:v>
      </x:c>
      <x:c r="G146" s="4" t="n">
        <x:v>0.2466099113225937</x:v>
      </x:c>
      <x:c r="H146" s="4" t="n">
        <x:f>IF(OR(F146="",G146=""),"",F146-G146)</x:f>
        <x:v>-0.005309911322593702</x:v>
      </x:c>
      <x:c r="I146" s="5" t="n">
        <x:f>IFERROR(H146/F146,"")</x:f>
        <x:v>-0.022005434407765034</x:v>
      </x:c>
      <x:c r="J146" t="str">
        <x:f>IF(H146&gt;0,"Yes",IF(H146&lt;0,"No","Tie"))</x:f>
        <x:v>No</x:v>
      </x:c>
    </x:row>
    <x:row r="147">
      <x:c r="A147" t="str">
        <x:v>MICN</x:v>
      </x:c>
      <x:c r="B147" t="str">
        <x:v>ETTh2</x:v>
      </x:c>
      <x:c r="C147" t="n">
        <x:v>336</x:v>
      </x:c>
      <x:c r="D147" t="str">
        <x:v>Baseline</x:v>
      </x:c>
      <x:c r="E147" t="str">
        <x:v>COSA-P</x:v>
      </x:c>
      <x:c r="F147" s="4" t="n">
        <x:v>0.28153333333333336</x:v>
      </x:c>
      <x:c r="G147" s="4" t="n">
        <x:v>0.27799585461616516</x:v>
      </x:c>
      <x:c r="H147" s="4" t="n">
        <x:f>IF(OR(F147="",G147=""),"",F147-G147)</x:f>
        <x:v>0.0035374787171681965</x:v>
      </x:c>
      <x:c r="I147" s="5" t="n">
        <x:f>IFERROR(H147/F147,"")</x:f>
        <x:v>0.012565043987099915</x:v>
      </x:c>
      <x:c r="J147" t="str">
        <x:f>IF(H147&gt;0,"Yes",IF(H147&lt;0,"No","Tie"))</x:f>
        <x:v>Yes</x:v>
      </x:c>
    </x:row>
    <x:row r="148">
      <x:c r="A148" t="str">
        <x:v>MICN</x:v>
      </x:c>
      <x:c r="B148" t="str">
        <x:v>ETTh2</x:v>
      </x:c>
      <x:c r="C148" t="n">
        <x:v>720</x:v>
      </x:c>
      <x:c r="D148" t="str">
        <x:v>Baseline</x:v>
      </x:c>
      <x:c r="E148" t="str">
        <x:v>COSA-P</x:v>
      </x:c>
      <x:c r="F148" s="4" t="n">
        <x:v>0.3688</x:v>
      </x:c>
      <x:c r="G148" s="4" t="n">
        <x:v>0.3227624297142029</x:v>
      </x:c>
      <x:c r="H148" s="4" t="n">
        <x:f>IF(OR(F148="",G148=""),"",F148-G148)</x:f>
        <x:v>0.046037570285797136</x:v>
      </x:c>
      <x:c r="I148" s="5" t="n">
        <x:f>IFERROR(H148/F148,"")</x:f>
        <x:v>0.1248307220330725</x:v>
      </x:c>
      <x:c r="J148" t="str">
        <x:f>IF(H148&gt;0,"Yes",IF(H148&lt;0,"No","Tie"))</x:f>
        <x:v>Yes</x:v>
      </x:c>
    </x:row>
    <x:row r="149">
      <x:c r="A149" t="str">
        <x:v>MICN</x:v>
      </x:c>
      <x:c r="B149" t="str">
        <x:v>ETTm1</x:v>
      </x:c>
      <x:c r="C149" t="n">
        <x:v>96</x:v>
      </x:c>
      <x:c r="D149" t="str">
        <x:v>Baseline</x:v>
      </x:c>
      <x:c r="E149" t="str">
        <x:v>COSA-P</x:v>
      </x:c>
      <x:c r="F149" s="4" t="n">
        <x:v>0.4381</x:v>
      </x:c>
      <x:c r="G149" s="4" t="n">
        <x:v>0.3921038607756297</x:v>
      </x:c>
      <x:c r="H149" s="4" t="n">
        <x:f>IF(OR(F149="",G149=""),"",F149-G149)</x:f>
        <x:v>0.04599613922437029</x:v>
      </x:c>
      <x:c r="I149" s="5" t="n">
        <x:f>IFERROR(H149/F149,"")</x:f>
        <x:v>0.10499004616382171</x:v>
      </x:c>
      <x:c r="J149" t="str">
        <x:f>IF(H149&gt;0,"Yes",IF(H149&lt;0,"No","Tie"))</x:f>
        <x:v>Yes</x:v>
      </x:c>
    </x:row>
    <x:row r="150">
      <x:c r="A150" t="str">
        <x:v>MICN</x:v>
      </x:c>
      <x:c r="B150" t="str">
        <x:v>ETTm1</x:v>
      </x:c>
      <x:c r="C150" t="n">
        <x:v>192</x:v>
      </x:c>
      <x:c r="D150" t="str">
        <x:v>Baseline</x:v>
      </x:c>
      <x:c r="E150" t="str">
        <x:v>COSA-P</x:v>
      </x:c>
      <x:c r="F150" s="4" t="n">
        <x:v>0.49393333333333334</x:v>
      </x:c>
      <x:c r="G150" s="4" t="n">
        <x:v>0.46068646510442096</x:v>
      </x:c>
      <x:c r="H150" s="4" t="n">
        <x:f>IF(OR(F150="",G150=""),"",F150-G150)</x:f>
        <x:v>0.033246868228912374</x:v>
      </x:c>
      <x:c r="I150" s="5" t="n">
        <x:f>IFERROR(H150/F150,"")</x:f>
        <x:v>0.06731043641971732</x:v>
      </x:c>
      <x:c r="J150" t="str">
        <x:f>IF(H150&gt;0,"Yes",IF(H150&lt;0,"No","Tie"))</x:f>
        <x:v>Yes</x:v>
      </x:c>
    </x:row>
    <x:row r="151">
      <x:c r="A151" t="str">
        <x:v>MICN</x:v>
      </x:c>
      <x:c r="B151" t="str">
        <x:v>ETTm1</x:v>
      </x:c>
      <x:c r="C151" t="n">
        <x:v>336</x:v>
      </x:c>
      <x:c r="D151" t="str">
        <x:v>Baseline</x:v>
      </x:c>
      <x:c r="E151" t="str">
        <x:v>COSA-P</x:v>
      </x:c>
      <x:c r="F151" s="4" t="n">
        <x:v>0.5544333333333333</x:v>
      </x:c>
      <x:c r="G151" s="4" t="n">
        <x:v>0.5428374210993449</x:v>
      </x:c>
      <x:c r="H151" s="4" t="n">
        <x:f>IF(OR(F151="",G151=""),"",F151-G151)</x:f>
        <x:v>0.011595912233988481</x:v>
      </x:c>
      <x:c r="I151" s="5" t="n">
        <x:f>IFERROR(H151/F151,"")</x:f>
        <x:v>0.020914890099179607</x:v>
      </x:c>
      <x:c r="J151" t="str">
        <x:f>IF(H151&gt;0,"Yes",IF(H151&lt;0,"No","Tie"))</x:f>
        <x:v>Yes</x:v>
      </x:c>
    </x:row>
    <x:row r="152">
      <x:c r="A152" t="str">
        <x:v>MICN</x:v>
      </x:c>
      <x:c r="B152" t="str">
        <x:v>ETTm1</x:v>
      </x:c>
      <x:c r="C152" t="n">
        <x:v>720</x:v>
      </x:c>
      <x:c r="D152" t="str">
        <x:v>Baseline</x:v>
      </x:c>
      <x:c r="E152" t="str">
        <x:v>COSA-P</x:v>
      </x:c>
      <x:c r="F152" s="4" t="n">
        <x:v>0.6315666666666666</x:v>
      </x:c>
      <x:c r="G152" s="4" t="n">
        <x:v>0.6151350140571594</x:v>
      </x:c>
      <x:c r="H152" s="4" t="n">
        <x:f>IF(OR(F152="",G152=""),"",F152-G152)</x:f>
        <x:v>0.016431652609507186</x:v>
      </x:c>
      <x:c r="I152" s="5" t="n">
        <x:f>IFERROR(H152/F152,"")</x:f>
        <x:v>0.026017289190120634</x:v>
      </x:c>
      <x:c r="J152" t="str">
        <x:f>IF(H152&gt;0,"Yes",IF(H152&lt;0,"No","Tie"))</x:f>
        <x:v>Yes</x:v>
      </x:c>
    </x:row>
    <x:row r="153">
      <x:c r="A153" t="str">
        <x:v>MICN</x:v>
      </x:c>
      <x:c r="B153" t="str">
        <x:v>ETTm2</x:v>
      </x:c>
      <x:c r="C153" t="n">
        <x:v>96</x:v>
      </x:c>
      <x:c r="D153" t="str">
        <x:v>Baseline</x:v>
      </x:c>
      <x:c r="E153" t="str">
        <x:v>COSA-P</x:v>
      </x:c>
      <x:c r="F153" s="4" t="n">
        <x:v>0.12556666666666666</x:v>
      </x:c>
      <x:c r="G153" s="4" t="n">
        <x:v>0.12916086117426553</x:v>
      </x:c>
      <x:c r="H153" s="4" t="n">
        <x:f>IF(OR(F153="",G153=""),"",F153-G153)</x:f>
        <x:v>-0.0035941945075988746</x:v>
      </x:c>
      <x:c r="I153" s="5" t="n">
        <x:f>IFERROR(H153/F153,"")</x:f>
        <x:v>-0.028623794857437282</x:v>
      </x:c>
      <x:c r="J153" t="str">
        <x:f>IF(H153&gt;0,"Yes",IF(H153&lt;0,"No","Tie"))</x:f>
        <x:v>No</x:v>
      </x:c>
    </x:row>
    <x:row r="154">
      <x:c r="A154" t="str">
        <x:v>MICN</x:v>
      </x:c>
      <x:c r="B154" t="str">
        <x:v>ETTm2</x:v>
      </x:c>
      <x:c r="C154" t="n">
        <x:v>192</x:v>
      </x:c>
      <x:c r="D154" t="str">
        <x:v>Baseline</x:v>
      </x:c>
      <x:c r="E154" t="str">
        <x:v>COSA-P</x:v>
      </x:c>
      <x:c r="F154" s="4" t="n">
        <x:v>0.16096666666666667</x:v>
      </x:c>
      <x:c r="G154" s="4" t="n">
        <x:v>0.16677908599376678</x:v>
      </x:c>
      <x:c r="H154" s="4" t="n">
        <x:f>IF(OR(F154="",G154=""),"",F154-G154)</x:f>
        <x:v>-0.00581241932710011</x:v>
      </x:c>
      <x:c r="I154" s="5" t="n">
        <x:f>IFERROR(H154/F154,"")</x:f>
        <x:v>-0.03610945947670394</x:v>
      </x:c>
      <x:c r="J154" t="str">
        <x:f>IF(H154&gt;0,"Yes",IF(H154&lt;0,"No","Tie"))</x:f>
        <x:v>No</x:v>
      </x:c>
    </x:row>
    <x:row r="155">
      <x:c r="A155" t="str">
        <x:v>MICN</x:v>
      </x:c>
      <x:c r="B155" t="str">
        <x:v>ETTm2</x:v>
      </x:c>
      <x:c r="C155" t="n">
        <x:v>336</x:v>
      </x:c>
      <x:c r="D155" t="str">
        <x:v>Baseline</x:v>
      </x:c>
      <x:c r="E155" t="str">
        <x:v>COSA-P</x:v>
      </x:c>
      <x:c r="F155" s="4" t="n">
        <x:v>0.20206666666666667</x:v>
      </x:c>
      <x:c r="G155" s="4" t="n">
        <x:v>0.21278460820515951</x:v>
      </x:c>
      <x:c r="H155" s="4" t="n">
        <x:f>IF(OR(F155="",G155=""),"",F155-G155)</x:f>
        <x:v>-0.010717941538492842</x:v>
      </x:c>
      <x:c r="I155" s="5" t="n">
        <x:f>IFERROR(H155/F155,"")</x:f>
        <x:v>-0.053041611044999215</x:v>
      </x:c>
      <x:c r="J155" t="str">
        <x:f>IF(H155&gt;0,"Yes",IF(H155&lt;0,"No","Tie"))</x:f>
        <x:v>No</x:v>
      </x:c>
    </x:row>
    <x:row r="156">
      <x:c r="A156" t="str">
        <x:v>MICN</x:v>
      </x:c>
      <x:c r="B156" t="str">
        <x:v>ETTm2</x:v>
      </x:c>
      <x:c r="C156" t="n">
        <x:v>720</x:v>
      </x:c>
      <x:c r="D156" t="str">
        <x:v>Baseline</x:v>
      </x:c>
      <x:c r="E156" t="str">
        <x:v>COSA-P</x:v>
      </x:c>
      <x:c r="F156" s="4" t="n">
        <x:v>0.26056666666666667</x:v>
      </x:c>
      <x:c r="G156" s="4" t="n">
        <x:v>0.2687795062859853</x:v>
      </x:c>
      <x:c r="H156" s="4" t="n">
        <x:f>IF(OR(F156="",G156=""),"",F156-G156)</x:f>
        <x:v>-0.008212839619318624</x:v>
      </x:c>
      <x:c r="I156" s="5" t="n">
        <x:f>IFERROR(H156/F156,"")</x:f>
        <x:v>-0.03151914910829714</x:v>
      </x:c>
      <x:c r="J156" t="str">
        <x:f>IF(H156&gt;0,"Yes",IF(H156&lt;0,"No","Tie"))</x:f>
        <x:v>No</x:v>
      </x:c>
    </x:row>
    <x:row r="157">
      <x:c r="A157" t="str">
        <x:v>MICN</x:v>
      </x:c>
      <x:c r="B157" t="str">
        <x:v>Exchange Rate</x:v>
      </x:c>
      <x:c r="C157" t="n">
        <x:v>96</x:v>
      </x:c>
      <x:c r="D157" t="str">
        <x:v>Baseline</x:v>
      </x:c>
      <x:c r="E157" t="str">
        <x:v>COSA-P</x:v>
      </x:c>
      <x:c r="F157" s="4" t="n">
        <x:v>0.1022</x:v>
      </x:c>
      <x:c r="G157" s="4" t="n">
        <x:v>0.09780034174521764</x:v>
      </x:c>
      <x:c r="H157" s="4" t="n">
        <x:f>IF(OR(F157="",G157=""),"",F157-G157)</x:f>
        <x:v>0.004399658254782363</x:v>
      </x:c>
      <x:c r="I157" s="5" t="n">
        <x:f>IFERROR(H157/F157,"")</x:f>
        <x:v>0.04304949368671588</x:v>
      </x:c>
      <x:c r="J157" t="str">
        <x:f>IF(H157&gt;0,"Yes",IF(H157&lt;0,"No","Tie"))</x:f>
        <x:v>Yes</x:v>
      </x:c>
    </x:row>
    <x:row r="158">
      <x:c r="A158" t="str">
        <x:v>MICN</x:v>
      </x:c>
      <x:c r="B158" t="str">
        <x:v>Exchange Rate</x:v>
      </x:c>
      <x:c r="C158" t="n">
        <x:v>192</x:v>
      </x:c>
      <x:c r="D158" t="str">
        <x:v>Baseline</x:v>
      </x:c>
      <x:c r="E158" t="str">
        <x:v>COSA-P</x:v>
      </x:c>
      <x:c r="F158" s="4" t="n">
        <x:v>0.21276666666666666</x:v>
      </x:c>
      <x:c r="G158" s="4" t="n">
        <x:v>0.18832676112651825</x:v>
      </x:c>
      <x:c r="H158" s="4" t="n">
        <x:f>IF(OR(F158="",G158=""),"",F158-G158)</x:f>
        <x:v>0.02443990554014841</x:v>
      </x:c>
      <x:c r="I158" s="5" t="n">
        <x:f>IFERROR(H158/F158,"")</x:f>
        <x:v>0.11486717314812037</x:v>
      </x:c>
      <x:c r="J158" t="str">
        <x:f>IF(H158&gt;0,"Yes",IF(H158&lt;0,"No","Tie"))</x:f>
        <x:v>Yes</x:v>
      </x:c>
    </x:row>
    <x:row r="159">
      <x:c r="A159" t="str">
        <x:v>MICN</x:v>
      </x:c>
      <x:c r="B159" t="str">
        <x:v>Exchange Rate</x:v>
      </x:c>
      <x:c r="C159" t="n">
        <x:v>336</x:v>
      </x:c>
      <x:c r="D159" t="str">
        <x:v>Baseline</x:v>
      </x:c>
      <x:c r="E159" t="str">
        <x:v>COSA-P</x:v>
      </x:c>
      <x:c r="F159" s="4" t="n">
        <x:v>0.36293333333333333</x:v>
      </x:c>
      <x:c r="G159" s="4" t="n">
        <x:v>0.3107632597287496</x:v>
      </x:c>
      <x:c r="H159" s="4" t="n">
        <x:f>IF(OR(F159="",G159=""),"",F159-G159)</x:f>
        <x:v>0.052170073604583755</x:v>
      </x:c>
      <x:c r="I159" s="5" t="n">
        <x:f>IFERROR(H159/F159,"")</x:f>
        <x:v>0.1437456105930853</x:v>
      </x:c>
      <x:c r="J159" t="str">
        <x:f>IF(H159&gt;0,"Yes",IF(H159&lt;0,"No","Tie"))</x:f>
        <x:v>Yes</x:v>
      </x:c>
    </x:row>
    <x:row r="160">
      <x:c r="A160" t="str">
        <x:v>MICN</x:v>
      </x:c>
      <x:c r="B160" t="str">
        <x:v>Exchange Rate</x:v>
      </x:c>
      <x:c r="C160" t="n">
        <x:v>720</x:v>
      </x:c>
      <x:c r="D160" t="str">
        <x:v>Baseline</x:v>
      </x:c>
      <x:c r="E160" t="str">
        <x:v>COSA-P</x:v>
      </x:c>
      <x:c r="F160" s="4" t="n">
        <x:v>1.3852666666666666</x:v>
      </x:c>
      <x:c r="G160" s="4" t="n">
        <x:v>0.8958103259404501</x:v>
      </x:c>
      <x:c r="H160" s="4" t="n">
        <x:f>IF(OR(F160="",G160=""),"",F160-G160)</x:f>
        <x:v>0.4894563407262166</x:v>
      </x:c>
      <x:c r="I160" s="5" t="n">
        <x:f>IFERROR(H160/F160,"")</x:f>
        <x:v>0.35333005009351987</x:v>
      </x:c>
      <x:c r="J160" t="str">
        <x:f>IF(H160&gt;0,"Yes",IF(H160&lt;0,"No","Tie"))</x:f>
        <x:v>Yes</x:v>
      </x:c>
    </x:row>
    <x:row r="161">
      <x:c r="A161" t="str">
        <x:v>MICN</x:v>
      </x:c>
      <x:c r="B161" t="str">
        <x:v>weather</x:v>
      </x:c>
      <x:c r="C161" t="n">
        <x:v>96</x:v>
      </x:c>
      <x:c r="D161" t="str">
        <x:v>Baseline</x:v>
      </x:c>
      <x:c r="E161" t="str">
        <x:v>COSA-P</x:v>
      </x:c>
      <x:c r="F161" s="4" t="n">
        <x:v>0.17300000000000001</x:v>
      </x:c>
      <x:c r="G161" s="4" t="n">
        <x:v>0.1690617005030314</x:v>
      </x:c>
      <x:c r="H161" s="4" t="n">
        <x:f>IF(OR(F161="",G161=""),"",F161-G161)</x:f>
        <x:v>0.003938299496968611</x:v>
      </x:c>
      <x:c r="I161" s="5" t="n">
        <x:f>IFERROR(H161/F161,"")</x:f>
        <x:v>0.022764736976697175</x:v>
      </x:c>
      <x:c r="J161" t="str">
        <x:f>IF(H161&gt;0,"Yes",IF(H161&lt;0,"No","Tie"))</x:f>
        <x:v>Yes</x:v>
      </x:c>
    </x:row>
    <x:row r="162">
      <x:c r="A162" t="str">
        <x:v>MICN</x:v>
      </x:c>
      <x:c r="B162" t="str">
        <x:v>weather</x:v>
      </x:c>
      <x:c r="C162" t="n">
        <x:v>192</x:v>
      </x:c>
      <x:c r="D162" t="str">
        <x:v>Baseline</x:v>
      </x:c>
      <x:c r="E162" t="str">
        <x:v>COSA-P</x:v>
      </x:c>
      <x:c r="F162" s="4" t="n">
        <x:v>0.2265</x:v>
      </x:c>
      <x:c r="G162" s="4" t="n">
        <x:v>0.22998568415641785</x:v>
      </x:c>
      <x:c r="H162" s="4" t="n">
        <x:f>IF(OR(F162="",G162=""),"",F162-G162)</x:f>
        <x:v>-0.00348568415641784</x:v>
      </x:c>
      <x:c r="I162" s="5" t="n">
        <x:f>IFERROR(H162/F162,"")</x:f>
        <x:v>-0.015389334023919822</x:v>
      </x:c>
      <x:c r="J162" t="str">
        <x:f>IF(H162&gt;0,"Yes",IF(H162&lt;0,"No","Tie"))</x:f>
        <x:v>No</x:v>
      </x:c>
    </x:row>
    <x:row r="163">
      <x:c r="A163" t="str">
        <x:v>MICN</x:v>
      </x:c>
      <x:c r="B163" t="str">
        <x:v>weather</x:v>
      </x:c>
      <x:c r="C163" t="n">
        <x:v>336</x:v>
      </x:c>
      <x:c r="D163" t="str">
        <x:v>Baseline</x:v>
      </x:c>
      <x:c r="E163" t="str">
        <x:v>COSA-P</x:v>
      </x:c>
      <x:c r="F163" s="4" t="n">
        <x:v>0.2820666666666667</x:v>
      </x:c>
      <x:c r="G163" s="4" t="n">
        <x:v>0.32065752148628235</x:v>
      </x:c>
      <x:c r="H163" s="4" t="n">
        <x:f>IF(OR(F163="",G163=""),"",F163-G163)</x:f>
        <x:v>-0.03859085481961566</x:v>
      </x:c>
      <x:c r="I163" s="5" t="n">
        <x:f>IFERROR(H163/F163,"")</x:f>
        <x:v>-0.1368146590154183</x:v>
      </x:c>
      <x:c r="J163" t="str">
        <x:f>IF(H163&gt;0,"Yes",IF(H163&lt;0,"No","Tie"))</x:f>
        <x:v>No</x:v>
      </x:c>
    </x:row>
    <x:row r="164">
      <x:c r="A164" t="str">
        <x:v>MICN</x:v>
      </x:c>
      <x:c r="B164" t="str">
        <x:v>weather</x:v>
      </x:c>
      <x:c r="C164" t="n">
        <x:v>720</x:v>
      </x:c>
      <x:c r="D164" t="str">
        <x:v>Baseline</x:v>
      </x:c>
      <x:c r="E164" t="str">
        <x:v>COSA-P</x:v>
      </x:c>
      <x:c r="F164" s="4" t="n">
        <x:v>0.35176666666666667</x:v>
      </x:c>
      <x:c r="G164" s="4" t="n">
        <x:v>0.370450496673584</x:v>
      </x:c>
      <x:c r="H164" s="4" t="n">
        <x:f>IF(OR(F164="",G164=""),"",F164-G164)</x:f>
        <x:v>-0.018683830006917312</x:v>
      </x:c>
      <x:c r="I164" s="5" t="n">
        <x:f>IFERROR(H164/F164,"")</x:f>
        <x:v>-0.05311427084312701</x:v>
      </x:c>
      <x:c r="J164" t="str">
        <x:f>IF(H164&gt;0,"Yes",IF(H164&lt;0,"No","Tie"))</x:f>
        <x:v>No</x:v>
      </x:c>
    </x:row>
    <x:row r="165">
      <x:c r="A165" t="str">
        <x:v>MICN</x:v>
      </x:c>
      <x:c r="B165" t="str">
        <x:v>electricity</x:v>
      </x:c>
      <x:c r="C165" t="n">
        <x:v>96</x:v>
      </x:c>
      <x:c r="D165" t="str">
        <x:v>Baseline</x:v>
      </x:c>
      <x:c r="E165" t="str">
        <x:v>COSA-P</x:v>
      </x:c>
      <x:c r="F165" s="4" t="n">
        <x:v>0.17646666666666666</x:v>
      </x:c>
      <x:c r="G165" s="4" t="n">
        <x:v>0.17324290672938028</x:v>
      </x:c>
      <x:c r="H165" s="4" t="n">
        <x:f>IF(OR(F165="",G165=""),"",F165-G165)</x:f>
        <x:v>0.00322375993728638</x:v>
      </x:c>
      <x:c r="I165" s="5" t="n">
        <x:f>IFERROR(H165/F165,"")</x:f>
        <x:v>0.01826837894193264</x:v>
      </x:c>
      <x:c r="J165" t="str">
        <x:f>IF(H165&gt;0,"Yes",IF(H165&lt;0,"No","Tie"))</x:f>
        <x:v>Yes</x:v>
      </x:c>
    </x:row>
    <x:row r="166">
      <x:c r="A166" t="str">
        <x:v>MICN</x:v>
      </x:c>
      <x:c r="B166" t="str">
        <x:v>electricity</x:v>
      </x:c>
      <x:c r="C166" t="n">
        <x:v>192</x:v>
      </x:c>
      <x:c r="D166" t="str">
        <x:v>Baseline</x:v>
      </x:c>
      <x:c r="E166" t="str">
        <x:v>COSA-P</x:v>
      </x:c>
      <x:c r="F166" s="4" t="n">
        <x:v>0.18926666666666667</x:v>
      </x:c>
      <x:c r="G166" s="4" t="n">
        <x:v>0.1789020299911499</x:v>
      </x:c>
      <x:c r="H166" s="4" t="n">
        <x:f>IF(OR(F166="",G166=""),"",F166-G166)</x:f>
        <x:v>0.010364636675516764</x:v>
      </x:c>
      <x:c r="I166" s="5" t="n">
        <x:f>IFERROR(H166/F166,"")</x:f>
        <x:v>0.05476208176567505</x:v>
      </x:c>
      <x:c r="J166" t="str">
        <x:f>IF(H166&gt;0,"Yes",IF(H166&lt;0,"No","Tie"))</x:f>
        <x:v>Yes</x:v>
      </x:c>
    </x:row>
    <x:row r="167">
      <x:c r="A167" t="str">
        <x:v>MICN</x:v>
      </x:c>
      <x:c r="B167" t="str">
        <x:v>electricity</x:v>
      </x:c>
      <x:c r="C167" t="n">
        <x:v>336</x:v>
      </x:c>
      <x:c r="D167" t="str">
        <x:v>Baseline</x:v>
      </x:c>
      <x:c r="E167" t="str">
        <x:v>COSA-P</x:v>
      </x:c>
      <x:c r="F167" s="4" t="n">
        <x:v>0.19413333333333332</x:v>
      </x:c>
      <x:c r="G167" s="4" t="n">
        <x:v>0.17665539681911469</x:v>
      </x:c>
      <x:c r="H167" s="4" t="n">
        <x:f>IF(OR(F167="",G167=""),"",F167-G167)</x:f>
        <x:v>0.01747793651421864</x:v>
      </x:c>
      <x:c r="I167" s="5" t="n">
        <x:f>IFERROR(H167/F167,"")</x:f>
        <x:v>0.090030579571868</x:v>
      </x:c>
      <x:c r="J167" t="str">
        <x:f>IF(H167&gt;0,"Yes",IF(H167&lt;0,"No","Tie"))</x:f>
        <x:v>Yes</x:v>
      </x:c>
    </x:row>
    <x:row r="168">
      <x:c r="A168" t="str">
        <x:v>MICN</x:v>
      </x:c>
      <x:c r="B168" t="str">
        <x:v>electricity</x:v>
      </x:c>
      <x:c r="C168" t="n">
        <x:v>720</x:v>
      </x:c>
      <x:c r="D168" t="str">
        <x:v>Baseline</x:v>
      </x:c>
      <x:c r="E168" t="str">
        <x:v>COSA-P</x:v>
      </x:c>
      <x:c r="F168" s="4" t="n">
        <x:v>0.21926666666666667</x:v>
      </x:c>
      <x:c r="G168" s="4" t="n">
        <x:v>0.18547391891479492</x:v>
      </x:c>
      <x:c r="H168" s="4" t="n">
        <x:f>IF(OR(F168="",G168=""),"",F168-G168)</x:f>
        <x:v>0.03379274775187174</x:v>
      </x:c>
      <x:c r="I168" s="5" t="n">
        <x:f>IFERROR(H168/F168,"")</x:f>
        <x:v>0.15411712261419158</x:v>
      </x:c>
      <x:c r="J168" t="str">
        <x:f>IF(H168&gt;0,"Yes",IF(H168&lt;0,"No","Tie"))</x:f>
        <x:v>Yes</x:v>
      </x:c>
    </x:row>
    <x:row r="169">
      <x:c r="A169" t="str">
        <x:v>MICN</x:v>
      </x:c>
      <x:c r="B169" t="str">
        <x:v>traffic</x:v>
      </x:c>
      <x:c r="C169" t="n">
        <x:v>96</x:v>
      </x:c>
      <x:c r="D169" t="str">
        <x:v>Baseline</x:v>
      </x:c>
      <x:c r="E169" t="str">
        <x:v>COSA-P</x:v>
      </x:c>
      <x:c r="F169" s="4" t="n">
        <x:v>0.49793333333333334</x:v>
      </x:c>
      <x:c r="G169" s="4" t="n">
        <x:v>0.4604647159576416</x:v>
      </x:c>
      <x:c r="H169" s="4" t="n">
        <x:f>IF(OR(F169="",G169=""),"",F169-G169)</x:f>
        <x:v>0.03746861737569174</x:v>
      </x:c>
      <x:c r="I169" s="5" t="n">
        <x:f>IFERROR(H169/F169,"")</x:f>
        <x:v>0.07524826089642202</x:v>
      </x:c>
      <x:c r="J169" t="str">
        <x:f>IF(H169&gt;0,"Yes",IF(H169&lt;0,"No","Tie"))</x:f>
        <x:v>Yes</x:v>
      </x:c>
    </x:row>
    <x:row r="170">
      <x:c r="A170" t="str">
        <x:v>MICN</x:v>
      </x:c>
      <x:c r="B170" t="str">
        <x:v>traffic</x:v>
      </x:c>
      <x:c r="C170" t="n">
        <x:v>192</x:v>
      </x:c>
      <x:c r="D170" t="str">
        <x:v>Baseline</x:v>
      </x:c>
      <x:c r="E170" t="str">
        <x:v>COSA-P</x:v>
      </x:c>
      <x:c r="F170" s="4" t="n">
        <x:v>0.5097666666666667</x:v>
      </x:c>
      <x:c r="G170" s="4" t="n">
        <x:v>0.4749463001887004</x:v>
      </x:c>
      <x:c r="H170" s="4" t="n">
        <x:f>IF(OR(F170="",G170=""),"",F170-G170)</x:f>
        <x:v>0.034820366477966325</x:v>
      </x:c>
      <x:c r="I170" s="5" t="n">
        <x:f>IFERROR(H170/F170,"")</x:f>
        <x:v>0.06830647971875954</x:v>
      </x:c>
      <x:c r="J170" t="str">
        <x:f>IF(H170&gt;0,"Yes",IF(H170&lt;0,"No","Tie"))</x:f>
        <x:v>Yes</x:v>
      </x:c>
    </x:row>
    <x:row r="171">
      <x:c r="A171" t="str">
        <x:v>MICN</x:v>
      </x:c>
      <x:c r="B171" t="str">
        <x:v>traffic</x:v>
      </x:c>
      <x:c r="C171" t="n">
        <x:v>336</x:v>
      </x:c>
      <x:c r="D171" t="str">
        <x:v>Baseline</x:v>
      </x:c>
      <x:c r="E171" t="str">
        <x:v>COSA-P</x:v>
      </x:c>
      <x:c r="F171" s="4" t="n">
        <x:v>0.5350666666666667</x:v>
      </x:c>
      <x:c r="G171" s="4" t="n">
        <x:v>0.4939431846141815</x:v>
      </x:c>
      <x:c r="H171" s="4" t="n">
        <x:f>IF(OR(F171="",G171=""),"",F171-G171)</x:f>
        <x:v>0.04112348205248517</x:v>
      </x:c>
      <x:c r="I171" s="5" t="n">
        <x:f>IFERROR(H171/F171,"")</x:f>
        <x:v>0.0768567444290154</x:v>
      </x:c>
      <x:c r="J171" t="str">
        <x:f>IF(H171&gt;0,"Yes",IF(H171&lt;0,"No","Tie"))</x:f>
        <x:v>Yes</x:v>
      </x:c>
    </x:row>
    <x:row r="172">
      <x:c r="A172" t="str">
        <x:v>MICN</x:v>
      </x:c>
      <x:c r="B172" t="str">
        <x:v>traffic</x:v>
      </x:c>
      <x:c r="C172" t="n">
        <x:v>720</x:v>
      </x:c>
      <x:c r="D172" t="str">
        <x:v>Baseline</x:v>
      </x:c>
      <x:c r="E172" t="str">
        <x:v>COSA-P</x:v>
      </x:c>
      <x:c r="F172" s="4" t="n">
        <x:v>0.5788666666666666</x:v>
      </x:c>
      <x:c r="G172" s="4" t="n">
        <x:v>0.5263590812683105</x:v>
      </x:c>
      <x:c r="H172" s="4" t="n">
        <x:f>IF(OR(F172="",G172=""),"",F172-G172)</x:f>
        <x:v>0.052507585398356094</x:v>
      </x:c>
      <x:c r="I172" s="5" t="n">
        <x:f>IFERROR(H172/F172,"")</x:f>
        <x:v>0.09070756431824732</x:v>
      </x:c>
      <x:c r="J172" t="str">
        <x:f>IF(H172&gt;0,"Yes",IF(H172&lt;0,"No","Tie"))</x:f>
        <x:v>Yes</x:v>
      </x:c>
    </x:row>
  </x:sheetData>
  <x:mergeCells>
    <x:mergeCell ref="L1:O1"/>
  </x:mergeCells>
  <x:conditionalFormatting sqref="H2:I172">
    <x:cfRule type="cellIs" dxfId="24" priority="1" operator="greaterThan">
      <x:formula>0</x:formula>
    </x:cfRule>
    <x:cfRule type="cellIs" dxfId="2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13589e44c241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3.329999923706055" hidden="0" customWidth="1"/>
    <x:col min="3" max="3" width="8.890000343322754" hidden="0" customWidth="1"/>
    <x:col min="4" max="4" width="10" hidden="0" customWidth="1"/>
    <x:col min="5" max="5" width="10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1.670000076293945" hidden="0" customWidth="1"/>
    <x:col min="10" max="10" width="8.890000343322754" hidden="0" customWidth="1"/>
    <x:col min="12" max="12" width="16.670000076293945" hidden="0" customWidth="1"/>
    <x:col min="13" max="13" width="11.109999656677246" hidden="0" customWidth="1"/>
  </x:cols>
  <x:sheetData>
    <x:row r="1">
      <x:c r="A1" s="3" t="str">
        <x:v>Model</x:v>
      </x:c>
      <x:c r="B1" s="3" t="str">
        <x:v>Dataset</x:v>
      </x:c>
      <x:c r="C1" s="3" t="str">
        <x:v>Horizon</x:v>
      </x:c>
      <x:c r="D1" s="3" t="str">
        <x:v>From</x:v>
      </x:c>
      <x:c r="E1" s="3" t="str">
        <x:v>To</x:v>
      </x:c>
      <x:c r="F1" s="3" t="str">
        <x:v>From MSE</x:v>
      </x:c>
      <x:c r="G1" s="3" t="str">
        <x:v>To MSE</x:v>
      </x:c>
      <x:c r="H1" s="3" t="str">
        <x:v>Abs Drop</x:v>
      </x:c>
      <x:c r="I1" s="3" t="str">
        <x:v>% Improvement</x:v>
      </x:c>
      <x:c r="J1" s="3" t="str">
        <x:v>Improved?</x:v>
      </x:c>
      <x:c r="L1" s="8" t="str">
        <x:v>Spectral improvement over COSA-F</x:v>
      </x:c>
      <x:c r="M1" s="8"/>
      <x:c r="N1" s="8"/>
      <x:c r="O1" s="8"/>
    </x:row>
    <x:row r="2">
      <x:c r="A2" t="str">
        <x:v>iTransformer</x:v>
      </x:c>
      <x:c r="B2" t="str">
        <x:v>ETTh1</x:v>
      </x:c>
      <x:c r="C2" t="n">
        <x:v>96</x:v>
      </x:c>
      <x:c r="D2" t="str">
        <x:v>COSA-F</x:v>
      </x:c>
      <x:c r="E2" t="str">
        <x:v>Spectral</x:v>
      </x:c>
      <x:c r="F2" s="4" t="n">
        <x:v>0.42607852816581726</x:v>
      </x:c>
      <x:c r="G2" s="4" t="n">
        <x:v>0.41234559814135235</x:v>
      </x:c>
      <x:c r="H2" s="4" t="n">
        <x:f>IF(OR(F2="",G2=""),"",F2-G2)</x:f>
        <x:v>0.013732930024464907</x:v>
      </x:c>
      <x:c r="I2" s="5" t="n">
        <x:f>IFERROR(H2/F2,"")</x:f>
        <x:v>0.032230983531562646</x:v>
      </x:c>
      <x:c r="J2" t="str">
        <x:f>IF(H2&gt;0,"Yes",IF(H2&lt;0,"No","Tie"))</x:f>
        <x:v>Yes</x:v>
      </x:c>
      <x:c r="L2" t="str">
        <x:v>Metric</x:v>
      </x:c>
      <x:c r="M2" t="str">
        <x:v>Value</x:v>
      </x:c>
      <x:c r="N2"/>
      <x:c r="O2"/>
    </x:row>
    <x:row r="3">
      <x:c r="A3" t="str">
        <x:v>iTransformer</x:v>
      </x:c>
      <x:c r="B3" t="str">
        <x:v>ETTh1</x:v>
      </x:c>
      <x:c r="C3" t="n">
        <x:v>192</x:v>
      </x:c>
      <x:c r="D3" t="str">
        <x:v>COSA-F</x:v>
      </x:c>
      <x:c r="E3" t="str">
        <x:v>Spectral</x:v>
      </x:c>
      <x:c r="F3" s="4" t="n">
        <x:v>0.49191297094027203</x:v>
      </x:c>
      <x:c r="G3" s="4" t="n">
        <x:v>0.4798216025034587</x:v>
      </x:c>
      <x:c r="H3" s="4" t="n">
        <x:f>IF(OR(F3="",G3=""),"",F3-G3)</x:f>
        <x:v>0.012091368436813354</x:v>
      </x:c>
      <x:c r="I3" s="5" t="n">
        <x:f>IFERROR(H3/F3,"")</x:f>
        <x:v>0.02458030007564384</x:v>
      </x:c>
      <x:c r="J3" t="str">
        <x:f>IF(H3&gt;0,"Yes",IF(H3&lt;0,"No","Tie"))</x:f>
        <x:v>Yes</x:v>
      </x:c>
      <x:c r="L3" t="str">
        <x:v>N</x:v>
      </x:c>
      <x:c r="M3" s="6" t="n">
        <x:f>COUNT(H2:H172)</x:f>
        <x:v>171</x:v>
      </x:c>
      <x:c r="N3"/>
      <x:c r="O3"/>
    </x:row>
    <x:row r="4">
      <x:c r="A4" t="str">
        <x:v>iTransformer</x:v>
      </x:c>
      <x:c r="B4" t="str">
        <x:v>ETTh1</x:v>
      </x:c>
      <x:c r="C4" t="n">
        <x:v>336</x:v>
      </x:c>
      <x:c r="D4" t="str">
        <x:v>COSA-F</x:v>
      </x:c>
      <x:c r="E4" t="str">
        <x:v>Spectral</x:v>
      </x:c>
      <x:c r="F4" s="4" t="n">
        <x:v>0.5679084658622742</x:v>
      </x:c>
      <x:c r="G4" s="4" t="n">
        <x:v>0.5428623755772909</x:v>
      </x:c>
      <x:c r="H4" s="4" t="n">
        <x:f>IF(OR(F4="",G4=""),"",F4-G4)</x:f>
        <x:v>0.02504609028498328</x:v>
      </x:c>
      <x:c r="I4" s="5" t="n">
        <x:f>IFERROR(H4/F4,"")</x:f>
        <x:v>0.04410233653931356</x:v>
      </x:c>
      <x:c r="J4" t="str">
        <x:f>IF(H4&gt;0,"Yes",IF(H4&lt;0,"No","Tie"))</x:f>
        <x:v>Yes</x:v>
      </x:c>
      <x:c r="L4" t="str">
        <x:v>Avg % Improvement</x:v>
      </x:c>
      <x:c r="M4" s="5" t="n">
        <x:f>AVERAGE(I2:I172)</x:f>
        <x:v>0.05563704981792542</x:v>
      </x:c>
      <x:c r="N4"/>
      <x:c r="O4"/>
    </x:row>
    <x:row r="5">
      <x:c r="A5" t="str">
        <x:v>iTransformer</x:v>
      </x:c>
      <x:c r="B5" t="str">
        <x:v>ETTh1</x:v>
      </x:c>
      <x:c r="C5" t="n">
        <x:v>720</x:v>
      </x:c>
      <x:c r="D5" t="str">
        <x:v>COSA-F</x:v>
      </x:c>
      <x:c r="E5" t="str">
        <x:v>Spectral</x:v>
      </x:c>
      <x:c r="F5" s="4" t="n">
        <x:v>0.6394924918810526</x:v>
      </x:c>
      <x:c r="G5" s="4" t="n">
        <x:v>0.5789849956830343</x:v>
      </x:c>
      <x:c r="H5" s="4" t="n">
        <x:f>IF(OR(F5="",G5=""),"",F5-G5)</x:f>
        <x:v>0.06050749619801832</x:v>
      </x:c>
      <x:c r="I5" s="5" t="n">
        <x:f>IFERROR(H5/F5,"")</x:f>
        <x:v>0.09461799312144681</x:v>
      </x:c>
      <x:c r="J5" t="str">
        <x:f>IF(H5&gt;0,"Yes",IF(H5&lt;0,"No","Tie"))</x:f>
        <x:v>Yes</x:v>
      </x:c>
      <x:c r="L5" t="str">
        <x:v>Win Rate</x:v>
      </x:c>
      <x:c r="M5" s="5" t="n">
        <x:f>COUNTIF(H2:H172,"&gt;0")/M3</x:f>
        <x:v>0.8362573099415205</x:v>
      </x:c>
      <x:c r="N5"/>
      <x:c r="O5"/>
    </x:row>
    <x:row r="6">
      <x:c r="A6" t="str">
        <x:v>iTransformer</x:v>
      </x:c>
      <x:c r="B6" t="str">
        <x:v>ETTh2</x:v>
      </x:c>
      <x:c r="C6" t="n">
        <x:v>96</x:v>
      </x:c>
      <x:c r="D6" t="str">
        <x:v>COSA-F</x:v>
      </x:c>
      <x:c r="E6" t="str">
        <x:v>Spectral</x:v>
      </x:c>
      <x:c r="F6" s="4" t="n">
        <x:v>0.1981868545214335</x:v>
      </x:c>
      <x:c r="G6" s="4" t="n">
        <x:v>0.19697168469429016</x:v>
      </x:c>
      <x:c r="H6" s="4" t="n">
        <x:f>IF(OR(F6="",G6=""),"",F6-G6)</x:f>
        <x:v>0.001215169827143342</x:v>
      </x:c>
      <x:c r="I6" s="5" t="n">
        <x:f>IFERROR(H6/F6,"")</x:f>
        <x:v>0.006131435054447185</x:v>
      </x:c>
      <x:c r="J6" t="str">
        <x:f>IF(H6&gt;0,"Yes",IF(H6&lt;0,"No","Tie"))</x:f>
        <x:v>Yes</x:v>
      </x:c>
    </x:row>
    <x:row r="7">
      <x:c r="A7" t="str">
        <x:v>iTransformer</x:v>
      </x:c>
      <x:c r="B7" t="str">
        <x:v>ETTh2</x:v>
      </x:c>
      <x:c r="C7" t="n">
        <x:v>192</x:v>
      </x:c>
      <x:c r="D7" t="str">
        <x:v>COSA-F</x:v>
      </x:c>
      <x:c r="E7" t="str">
        <x:v>Spectral</x:v>
      </x:c>
      <x:c r="F7" s="4" t="n">
        <x:v>0.24355138838291168</x:v>
      </x:c>
      <x:c r="G7" s="4" t="n">
        <x:v>0.2499858389298121</x:v>
      </x:c>
      <x:c r="H7" s="4" t="n">
        <x:f>IF(OR(F7="",G7=""),"",F7-G7)</x:f>
        <x:v>-0.006434450546900422</x:v>
      </x:c>
      <x:c r="I7" s="5" t="n">
        <x:f>IFERROR(H7/F7,"")</x:f>
        <x:v>-0.026419272703073957</x:v>
      </x:c>
      <x:c r="J7" t="str">
        <x:f>IF(H7&gt;0,"Yes",IF(H7&lt;0,"No","Tie"))</x:f>
        <x:v>No</x:v>
      </x:c>
    </x:row>
    <x:row r="8">
      <x:c r="A8" t="str">
        <x:v>iTransformer</x:v>
      </x:c>
      <x:c r="B8" t="str">
        <x:v>ETTh2</x:v>
      </x:c>
      <x:c r="C8" t="n">
        <x:v>336</x:v>
      </x:c>
      <x:c r="D8" t="str">
        <x:v>COSA-F</x:v>
      </x:c>
      <x:c r="E8" t="str">
        <x:v>Spectral</x:v>
      </x:c>
      <x:c r="F8" s="4" t="n">
        <x:v>0.2575531204541524</x:v>
      </x:c>
      <x:c r="G8" s="4" t="n">
        <x:v>0.2626849114894867</x:v>
      </x:c>
      <x:c r="H8" s="4" t="n">
        <x:f>IF(OR(F8="",G8=""),"",F8-G8)</x:f>
        <x:v>-0.005131791035334288</x:v>
      </x:c>
      <x:c r="I8" s="5" t="n">
        <x:f>IFERROR(H8/F8,"")</x:f>
        <x:v>-0.019925175149441875</x:v>
      </x:c>
      <x:c r="J8" t="str">
        <x:f>IF(H8&gt;0,"Yes",IF(H8&lt;0,"No","Tie"))</x:f>
        <x:v>No</x:v>
      </x:c>
    </x:row>
    <x:row r="9">
      <x:c r="A9" t="str">
        <x:v>iTransformer</x:v>
      </x:c>
      <x:c r="B9" t="str">
        <x:v>ETTh2</x:v>
      </x:c>
      <x:c r="C9" t="n">
        <x:v>720</x:v>
      </x:c>
      <x:c r="D9" t="str">
        <x:v>COSA-F</x:v>
      </x:c>
      <x:c r="E9" t="str">
        <x:v>Spectral</x:v>
      </x:c>
      <x:c r="F9" s="4" t="n">
        <x:v>0.2856131891409556</x:v>
      </x:c>
      <x:c r="G9" s="4" t="n">
        <x:v>0.2872478167215983</x:v>
      </x:c>
      <x:c r="H9" s="4" t="n">
        <x:f>IF(OR(F9="",G9=""),"",F9-G9)</x:f>
        <x:v>-0.0016346275806427002</x:v>
      </x:c>
      <x:c r="I9" s="5" t="n">
        <x:f>IFERROR(H9/F9,"")</x:f>
        <x:v>-0.005723221625581093</x:v>
      </x:c>
      <x:c r="J9" t="str">
        <x:f>IF(H9&gt;0,"Yes",IF(H9&lt;0,"No","Tie"))</x:f>
        <x:v>No</x:v>
      </x:c>
    </x:row>
    <x:row r="10">
      <x:c r="A10" t="str">
        <x:v>iTransformer</x:v>
      </x:c>
      <x:c r="B10" t="str">
        <x:v>ETTm1</x:v>
      </x:c>
      <x:c r="C10" t="n">
        <x:v>96</x:v>
      </x:c>
      <x:c r="D10" t="str">
        <x:v>COSA-F</x:v>
      </x:c>
      <x:c r="E10" t="str">
        <x:v>Spectral</x:v>
      </x:c>
      <x:c r="F10" s="4" t="n">
        <x:v>0.3563259343306224</x:v>
      </x:c>
      <x:c r="G10" s="4" t="n">
        <x:v>0.3443148334821065</x:v>
      </x:c>
      <x:c r="H10" s="4" t="n">
        <x:f>IF(OR(F10="",G10=""),"",F10-G10)</x:f>
        <x:v>0.012011100848515865</x:v>
      </x:c>
      <x:c r="I10" s="5" t="n">
        <x:f>IFERROR(H10/F10,"")</x:f>
        <x:v>0.0337081859367867</x:v>
      </x:c>
      <x:c r="J10" t="str">
        <x:f>IF(H10&gt;0,"Yes",IF(H10&lt;0,"No","Tie"))</x:f>
        <x:v>Yes</x:v>
      </x:c>
    </x:row>
    <x:row r="11">
      <x:c r="A11" t="str">
        <x:v>iTransformer</x:v>
      </x:c>
      <x:c r="B11" t="str">
        <x:v>ETTm1</x:v>
      </x:c>
      <x:c r="C11" t="n">
        <x:v>192</x:v>
      </x:c>
      <x:c r="D11" t="str">
        <x:v>COSA-F</x:v>
      </x:c>
      <x:c r="E11" t="str">
        <x:v>Spectral</x:v>
      </x:c>
      <x:c r="F11" s="4" t="n">
        <x:v>0.42378686865170795</x:v>
      </x:c>
      <x:c r="G11" s="4" t="n">
        <x:v>0.4056560794512431</x:v>
      </x:c>
      <x:c r="H11" s="4" t="n">
        <x:f>IF(OR(F11="",G11=""),"",F11-G11)</x:f>
        <x:v>0.018130789200464847</x:v>
      </x:c>
      <x:c r="I11" s="5" t="n">
        <x:f>IFERROR(H11/F11,"")</x:f>
        <x:v>0.04278280084078244</x:v>
      </x:c>
      <x:c r="J11" t="str">
        <x:f>IF(H11&gt;0,"Yes",IF(H11&lt;0,"No","Tie"))</x:f>
        <x:v>Yes</x:v>
      </x:c>
    </x:row>
    <x:row r="12">
      <x:c r="A12" t="str">
        <x:v>iTransformer</x:v>
      </x:c>
      <x:c r="B12" t="str">
        <x:v>ETTm1</x:v>
      </x:c>
      <x:c r="C12" t="n">
        <x:v>336</x:v>
      </x:c>
      <x:c r="D12" t="str">
        <x:v>COSA-F</x:v>
      </x:c>
      <x:c r="E12" t="str">
        <x:v>Spectral</x:v>
      </x:c>
      <x:c r="F12" s="4" t="n">
        <x:v>0.4945196807384491</x:v>
      </x:c>
      <x:c r="G12" s="4" t="n">
        <x:v>0.4609619081020355</x:v>
      </x:c>
      <x:c r="H12" s="4" t="n">
        <x:f>IF(OR(F12="",G12=""),"",F12-G12)</x:f>
        <x:v>0.033557772636413574</x:v>
      </x:c>
      <x:c r="I12" s="5" t="n">
        <x:f>IFERROR(H12/F12,"")</x:f>
        <x:v>0.06785932682457231</x:v>
      </x:c>
      <x:c r="J12" t="str">
        <x:f>IF(H12&gt;0,"Yes",IF(H12&lt;0,"No","Tie"))</x:f>
        <x:v>Yes</x:v>
      </x:c>
    </x:row>
    <x:row r="13">
      <x:c r="A13" t="str">
        <x:v>iTransformer</x:v>
      </x:c>
      <x:c r="B13" t="str">
        <x:v>ETTm1</x:v>
      </x:c>
      <x:c r="C13" t="n">
        <x:v>720</x:v>
      </x:c>
      <x:c r="D13" t="str">
        <x:v>COSA-F</x:v>
      </x:c>
      <x:c r="E13" t="str">
        <x:v>Spectral</x:v>
      </x:c>
      <x:c r="F13" s="4" t="n">
        <x:v>0.5516761740048727</x:v>
      </x:c>
      <x:c r="G13" s="4" t="n">
        <x:v>0.5031796793142954</x:v>
      </x:c>
      <x:c r="H13" s="4" t="n">
        <x:f>IF(OR(F13="",G13=""),"",F13-G13)</x:f>
        <x:v>0.04849649469057726</x:v>
      </x:c>
      <x:c r="I13" s="5" t="n">
        <x:f>IFERROR(H13/F13,"")</x:f>
        <x:v>0.0879075388348182</x:v>
      </x:c>
      <x:c r="J13" t="str">
        <x:f>IF(H13&gt;0,"Yes",IF(H13&lt;0,"No","Tie"))</x:f>
        <x:v>Yes</x:v>
      </x:c>
    </x:row>
    <x:row r="14">
      <x:c r="A14" t="str">
        <x:v>iTransformer</x:v>
      </x:c>
      <x:c r="B14" t="str">
        <x:v>ETTm2</x:v>
      </x:c>
      <x:c r="C14" t="n">
        <x:v>96</x:v>
      </x:c>
      <x:c r="D14" t="str">
        <x:v>COSA-F</x:v>
      </x:c>
      <x:c r="E14" t="str">
        <x:v>Spectral</x:v>
      </x:c>
      <x:c r="F14" s="4" t="n">
        <x:v>0.12785379588603973</x:v>
      </x:c>
      <x:c r="G14" s="4" t="n">
        <x:v>0.1295243352651596</x:v>
      </x:c>
      <x:c r="H14" s="4" t="n">
        <x:f>IF(OR(F14="",G14=""),"",F14-G14)</x:f>
        <x:v>-0.001670539379119873</x:v>
      </x:c>
      <x:c r="I14" s="5" t="n">
        <x:f>IFERROR(H14/F14,"")</x:f>
        <x:v>-0.013066013156221653</x:v>
      </x:c>
      <x:c r="J14" t="str">
        <x:f>IF(H14&gt;0,"Yes",IF(H14&lt;0,"No","Tie"))</x:f>
        <x:v>No</x:v>
      </x:c>
    </x:row>
    <x:row r="15">
      <x:c r="A15" t="str">
        <x:v>iTransformer</x:v>
      </x:c>
      <x:c r="B15" t="str">
        <x:v>ETTm2</x:v>
      </x:c>
      <x:c r="C15" t="n">
        <x:v>192</x:v>
      </x:c>
      <x:c r="D15" t="str">
        <x:v>COSA-F</x:v>
      </x:c>
      <x:c r="E15" t="str">
        <x:v>Spectral</x:v>
      </x:c>
      <x:c r="F15" s="4" t="n">
        <x:v>0.17514689763387045</x:v>
      </x:c>
      <x:c r="G15" s="4" t="n">
        <x:v>0.17523622512817383</x:v>
      </x:c>
      <x:c r="H15" s="4" t="n">
        <x:f>IF(OR(F15="",G15=""),"",F15-G15)</x:f>
        <x:v>-0.00008932749430337616</x:v>
      </x:c>
      <x:c r="I15" s="5" t="n">
        <x:f>IFERROR(H15/F15,"")</x:f>
        <x:v>-0.0005100147105665989</x:v>
      </x:c>
      <x:c r="J15" t="str">
        <x:f>IF(H15&gt;0,"Yes",IF(H15&lt;0,"No","Tie"))</x:f>
        <x:v>No</x:v>
      </x:c>
    </x:row>
    <x:row r="16">
      <x:c r="A16" t="str">
        <x:v>iTransformer</x:v>
      </x:c>
      <x:c r="B16" t="str">
        <x:v>ETTm2</x:v>
      </x:c>
      <x:c r="C16" t="n">
        <x:v>336</x:v>
      </x:c>
      <x:c r="D16" t="str">
        <x:v>COSA-F</x:v>
      </x:c>
      <x:c r="E16" t="str">
        <x:v>Spectral</x:v>
      </x:c>
      <x:c r="F16" s="4" t="n">
        <x:v>0.2137297143538793</x:v>
      </x:c>
      <x:c r="G16" s="4" t="n">
        <x:v>0.19304195046424866</x:v>
      </x:c>
      <x:c r="H16" s="4" t="n">
        <x:f>IF(OR(F16="",G16=""),"",F16-G16)</x:f>
        <x:v>0.020687763889630645</x:v>
      </x:c>
      <x:c r="I16" s="5" t="n">
        <x:f>IFERROR(H16/F16,"")</x:f>
        <x:v>0.09679404640656206</x:v>
      </x:c>
      <x:c r="J16" t="str">
        <x:f>IF(H16&gt;0,"Yes",IF(H16&lt;0,"No","Tie"))</x:f>
        <x:v>Yes</x:v>
      </x:c>
    </x:row>
    <x:row r="17">
      <x:c r="A17" t="str">
        <x:v>iTransformer</x:v>
      </x:c>
      <x:c r="B17" t="str">
        <x:v>ETTm2</x:v>
      </x:c>
      <x:c r="C17" t="n">
        <x:v>720</x:v>
      </x:c>
      <x:c r="D17" t="str">
        <x:v>COSA-F</x:v>
      </x:c>
      <x:c r="E17" t="str">
        <x:v>Spectral</x:v>
      </x:c>
      <x:c r="F17" s="4" t="n">
        <x:v>0.23543583353360495</x:v>
      </x:c>
      <x:c r="G17" s="4" t="n">
        <x:v>0.2019137442111969</x:v>
      </x:c>
      <x:c r="H17" s="4" t="n">
        <x:f>IF(OR(F17="",G17=""),"",F17-G17)</x:f>
        <x:v>0.03352208932240805</x:v>
      </x:c>
      <x:c r="I17" s="5" t="n">
        <x:f>IFERROR(H17/F17,"")</x:f>
        <x:v>0.14238312333038833</x:v>
      </x:c>
      <x:c r="J17" t="str">
        <x:f>IF(H17&gt;0,"Yes",IF(H17&lt;0,"No","Tie"))</x:f>
        <x:v>Yes</x:v>
      </x:c>
    </x:row>
    <x:row r="18">
      <x:c r="A18" t="str">
        <x:v>iTransformer</x:v>
      </x:c>
      <x:c r="B18" t="str">
        <x:v>Exchange Rate</x:v>
      </x:c>
      <x:c r="C18" t="n">
        <x:v>96</x:v>
      </x:c>
      <x:c r="D18" t="str">
        <x:v>COSA-F</x:v>
      </x:c>
      <x:c r="E18" t="str">
        <x:v>Spectral</x:v>
      </x:c>
      <x:c r="F18" s="4" t="n">
        <x:v>0.08934242029984792</x:v>
      </x:c>
      <x:c r="G18" s="4" t="n">
        <x:v>0.09004731724659602</x:v>
      </x:c>
      <x:c r="H18" s="4" t="n">
        <x:f>IF(OR(F18="",G18=""),"",F18-G18)</x:f>
        <x:v>-0.000704896946748107</x:v>
      </x:c>
      <x:c r="I18" s="5" t="n">
        <x:f>IFERROR(H18/F18,"")</x:f>
        <x:v>-0.00788983491137084</x:v>
      </x:c>
      <x:c r="J18" t="str">
        <x:f>IF(H18&gt;0,"Yes",IF(H18&lt;0,"No","Tie"))</x:f>
        <x:v>No</x:v>
      </x:c>
    </x:row>
    <x:row r="19">
      <x:c r="A19" t="str">
        <x:v>iTransformer</x:v>
      </x:c>
      <x:c r="B19" t="str">
        <x:v>Exchange Rate</x:v>
      </x:c>
      <x:c r="C19" t="n">
        <x:v>192</x:v>
      </x:c>
      <x:c r="D19" t="str">
        <x:v>COSA-F</x:v>
      </x:c>
      <x:c r="E19" t="str">
        <x:v>Spectral</x:v>
      </x:c>
      <x:c r="F19" s="4" t="n">
        <x:v>0.17289159198602042</x:v>
      </x:c>
      <x:c r="G19" s="4" t="n">
        <x:v>0.1684557447830836</x:v>
      </x:c>
      <x:c r="H19" s="4" t="n">
        <x:f>IF(OR(F19="",G19=""),"",F19-G19)</x:f>
        <x:v>0.004435847202936827</x:v>
      </x:c>
      <x:c r="I19" s="5" t="n">
        <x:f>IFERROR(H19/F19,"")</x:f>
        <x:v>0.02565681275753131</x:v>
      </x:c>
      <x:c r="J19" t="str">
        <x:f>IF(H19&gt;0,"Yes",IF(H19&lt;0,"No","Tie"))</x:f>
        <x:v>Yes</x:v>
      </x:c>
    </x:row>
    <x:row r="20">
      <x:c r="A20" t="str">
        <x:v>iTransformer</x:v>
      </x:c>
      <x:c r="B20" t="str">
        <x:v>Exchange Rate</x:v>
      </x:c>
      <x:c r="C20" t="n">
        <x:v>336</x:v>
      </x:c>
      <x:c r="D20" t="str">
        <x:v>COSA-F</x:v>
      </x:c>
      <x:c r="E20" t="str">
        <x:v>Spectral</x:v>
      </x:c>
      <x:c r="F20" s="4" t="n">
        <x:v>0.2351749191681544</x:v>
      </x:c>
      <x:c r="G20" s="4" t="n">
        <x:v>0.2244020253419876</x:v>
      </x:c>
      <x:c r="H20" s="4" t="n">
        <x:f>IF(OR(F20="",G20=""),"",F20-G20)</x:f>
        <x:v>0.01077289382616678</x:v>
      </x:c>
      <x:c r="I20" s="5" t="n">
        <x:f>IFERROR(H20/F20,"")</x:f>
        <x:v>0.045808004800307646</x:v>
      </x:c>
      <x:c r="J20" t="str">
        <x:f>IF(H20&gt;0,"Yes",IF(H20&lt;0,"No","Tie"))</x:f>
        <x:v>Yes</x:v>
      </x:c>
    </x:row>
    <x:row r="21">
      <x:c r="A21" t="str">
        <x:v>iTransformer</x:v>
      </x:c>
      <x:c r="B21" t="str">
        <x:v>Exchange Rate</x:v>
      </x:c>
      <x:c r="C21" t="n">
        <x:v>720</x:v>
      </x:c>
      <x:c r="D21" t="str">
        <x:v>COSA-F</x:v>
      </x:c>
      <x:c r="E21" t="str">
        <x:v>Spectral</x:v>
      </x:c>
      <x:c r="F21" s="4" t="n">
        <x:v>0.3788573344548543</x:v>
      </x:c>
      <x:c r="G21" s="4" t="n">
        <x:v>0.382370521624883</x:v>
      </x:c>
      <x:c r="H21" s="4" t="n">
        <x:f>IF(OR(F21="",G21=""),"",F21-G21)</x:f>
        <x:v>-0.0035131871700286865</x:v>
      </x:c>
      <x:c r="I21" s="5" t="n">
        <x:f>IFERROR(H21/F21,"")</x:f>
        <x:v>-0.009273113783276454</x:v>
      </x:c>
      <x:c r="J21" t="str">
        <x:f>IF(H21&gt;0,"Yes",IF(H21&lt;0,"No","Tie"))</x:f>
        <x:v>No</x:v>
      </x:c>
    </x:row>
    <x:row r="22">
      <x:c r="A22" t="str">
        <x:v>iTransformer</x:v>
      </x:c>
      <x:c r="B22" t="str">
        <x:v>weather</x:v>
      </x:c>
      <x:c r="C22" t="n">
        <x:v>96</x:v>
      </x:c>
      <x:c r="D22" t="str">
        <x:v>COSA-F</x:v>
      </x:c>
      <x:c r="E22" t="str">
        <x:v>Spectral</x:v>
      </x:c>
      <x:c r="F22" s="4" t="n">
        <x:v>0.16426657140254974</x:v>
      </x:c>
      <x:c r="G22" s="4" t="n">
        <x:v>0.16370817522207895</x:v>
      </x:c>
      <x:c r="H22" s="4" t="n">
        <x:f>IF(OR(F22="",G22=""),"",F22-G22)</x:f>
        <x:v>0.0005583961804707938</x:v>
      </x:c>
      <x:c r="I22" s="5" t="n">
        <x:f>IFERROR(H22/F22,"")</x:f>
        <x:v>0.003399329368739271</x:v>
      </x:c>
      <x:c r="J22" t="str">
        <x:f>IF(H22&gt;0,"Yes",IF(H22&lt;0,"No","Tie"))</x:f>
        <x:v>Yes</x:v>
      </x:c>
    </x:row>
    <x:row r="23">
      <x:c r="A23" t="str">
        <x:v>iTransformer</x:v>
      </x:c>
      <x:c r="B23" t="str">
        <x:v>weather</x:v>
      </x:c>
      <x:c r="C23" t="n">
        <x:v>192</x:v>
      </x:c>
      <x:c r="D23" t="str">
        <x:v>COSA-F</x:v>
      </x:c>
      <x:c r="E23" t="str">
        <x:v>Spectral</x:v>
      </x:c>
      <x:c r="F23" s="4" t="n">
        <x:v>0.23318802316983542</x:v>
      </x:c>
      <x:c r="G23" s="4" t="n">
        <x:v>0.21399196485678354</x:v>
      </x:c>
      <x:c r="H23" s="4" t="n">
        <x:f>IF(OR(F23="",G23=""),"",F23-G23)</x:f>
        <x:v>0.019196058313051878</x:v>
      </x:c>
      <x:c r="I23" s="5" t="n">
        <x:f>IFERROR(H23/F23,"")</x:f>
        <x:v>0.08232008682140168</x:v>
      </x:c>
      <x:c r="J23" t="str">
        <x:f>IF(H23&gt;0,"Yes",IF(H23&lt;0,"No","Tie"))</x:f>
        <x:v>Yes</x:v>
      </x:c>
    </x:row>
    <x:row r="24">
      <x:c r="A24" t="str">
        <x:v>iTransformer</x:v>
      </x:c>
      <x:c r="B24" t="str">
        <x:v>weather</x:v>
      </x:c>
      <x:c r="C24" t="n">
        <x:v>336</x:v>
      </x:c>
      <x:c r="D24" t="str">
        <x:v>COSA-F</x:v>
      </x:c>
      <x:c r="E24" t="str">
        <x:v>Spectral</x:v>
      </x:c>
      <x:c r="F24" s="4" t="n">
        <x:v>0.2943750520547231</x:v>
      </x:c>
      <x:c r="G24" s="4" t="n">
        <x:v>0.2383541315793991</x:v>
      </x:c>
      <x:c r="H24" s="4" t="n">
        <x:f>IF(OR(F24="",G24=""),"",F24-G24)</x:f>
        <x:v>0.056020920475323976</x:v>
      </x:c>
      <x:c r="I24" s="5" t="n">
        <x:f>IFERROR(H24/F24,"")</x:f>
        <x:v>0.19030457942784473</x:v>
      </x:c>
      <x:c r="J24" t="str">
        <x:f>IF(H24&gt;0,"Yes",IF(H24&lt;0,"No","Tie"))</x:f>
        <x:v>Yes</x:v>
      </x:c>
    </x:row>
    <x:row r="25">
      <x:c r="A25" t="str">
        <x:v>iTransformer</x:v>
      </x:c>
      <x:c r="B25" t="str">
        <x:v>weather</x:v>
      </x:c>
      <x:c r="C25" t="n">
        <x:v>720</x:v>
      </x:c>
      <x:c r="D25" t="str">
        <x:v>COSA-F</x:v>
      </x:c>
      <x:c r="E25" t="str">
        <x:v>Spectral</x:v>
      </x:c>
      <x:c r="F25" s="4" t="n">
        <x:v>0.32412662108739215</x:v>
      </x:c>
      <x:c r="G25" s="4" t="n">
        <x:v>0.2243739515542984</x:v>
      </x:c>
      <x:c r="H25" s="4" t="n">
        <x:f>IF(OR(F25="",G25=""),"",F25-G25)</x:f>
        <x:v>0.09975266953309375</x:v>
      </x:c>
      <x:c r="I25" s="5" t="n">
        <x:f>IFERROR(H25/F25,"")</x:f>
        <x:v>0.30775833591958524</x:v>
      </x:c>
      <x:c r="J25" t="str">
        <x:f>IF(H25&gt;0,"Yes",IF(H25&lt;0,"No","Tie"))</x:f>
        <x:v>Yes</x:v>
      </x:c>
    </x:row>
    <x:row r="26">
      <x:c r="A26" t="str">
        <x:v>iTransformer</x:v>
      </x:c>
      <x:c r="B26" t="str">
        <x:v>electricity</x:v>
      </x:c>
      <x:c r="C26" t="n">
        <x:v>96</x:v>
      </x:c>
      <x:c r="D26" t="str">
        <x:v>COSA-F</x:v>
      </x:c>
      <x:c r="E26" t="str">
        <x:v>Spectral</x:v>
      </x:c>
      <x:c r="F26" s="4" t="n">
        <x:v>0.15975547830263773</x:v>
      </x:c>
      <x:c r="G26" s="4" t="n">
        <x:v>0.15992635985215506</x:v>
      </x:c>
      <x:c r="H26" s="4" t="n">
        <x:f>IF(OR(F26="",G26=""),"",F26-G26)</x:f>
        <x:v>-0.00017088154951733214</x:v>
      </x:c>
      <x:c r="I26" s="5" t="n">
        <x:f>IFERROR(H26/F26,"")</x:f>
        <x:v>-0.0010696443798541757</x:v>
      </x:c>
      <x:c r="J26" t="str">
        <x:f>IF(H26&gt;0,"Yes",IF(H26&lt;0,"No","Tie"))</x:f>
        <x:v>No</x:v>
      </x:c>
    </x:row>
    <x:row r="27">
      <x:c r="A27" t="str">
        <x:v>iTransformer</x:v>
      </x:c>
      <x:c r="B27" t="str">
        <x:v>electricity</x:v>
      </x:c>
      <x:c r="C27" t="n">
        <x:v>192</x:v>
      </x:c>
      <x:c r="D27" t="str">
        <x:v>COSA-F</x:v>
      </x:c>
      <x:c r="E27" t="str">
        <x:v>Spectral</x:v>
      </x:c>
      <x:c r="F27" s="4" t="n">
        <x:v>0.17201883594195047</x:v>
      </x:c>
      <x:c r="G27" s="4" t="n">
        <x:v>0.17074458301067352</x:v>
      </x:c>
      <x:c r="H27" s="4" t="n">
        <x:f>IF(OR(F27="",G27=""),"",F27-G27)</x:f>
        <x:v>0.001274252931276948</x:v>
      </x:c>
      <x:c r="I27" s="5" t="n">
        <x:f>IFERROR(H27/F27,"")</x:f>
        <x:v>0.007407636055082698</x:v>
      </x:c>
      <x:c r="J27" t="str">
        <x:f>IF(H27&gt;0,"Yes",IF(H27&lt;0,"No","Tie"))</x:f>
        <x:v>Yes</x:v>
      </x:c>
    </x:row>
    <x:row r="28">
      <x:c r="A28" t="str">
        <x:v>iTransformer</x:v>
      </x:c>
      <x:c r="B28" t="str">
        <x:v>electricity</x:v>
      </x:c>
      <x:c r="C28" t="n">
        <x:v>336</x:v>
      </x:c>
      <x:c r="D28" t="str">
        <x:v>COSA-F</x:v>
      </x:c>
      <x:c r="E28" t="str">
        <x:v>Spectral</x:v>
      </x:c>
      <x:c r="F28" s="4" t="n">
        <x:v>0.1819188048442205</x:v>
      </x:c>
      <x:c r="G28" s="4" t="n">
        <x:v>0.17861836155255637</x:v>
      </x:c>
      <x:c r="H28" s="4" t="n">
        <x:f>IF(OR(F28="",G28=""),"",F28-G28)</x:f>
        <x:v>0.0033004432916641235</x:v>
      </x:c>
      <x:c r="I28" s="5" t="n">
        <x:f>IFERROR(H28/F28,"")</x:f>
        <x:v>0.018142397617939152</x:v>
      </x:c>
      <x:c r="J28" t="str">
        <x:f>IF(H28&gt;0,"Yes",IF(H28&lt;0,"No","Tie"))</x:f>
        <x:v>Yes</x:v>
      </x:c>
    </x:row>
    <x:row r="29">
      <x:c r="A29" t="str">
        <x:v>iTransformer</x:v>
      </x:c>
      <x:c r="B29" t="str">
        <x:v>electricity</x:v>
      </x:c>
      <x:c r="C29" t="n">
        <x:v>720</x:v>
      </x:c>
      <x:c r="D29" t="str">
        <x:v>COSA-F</x:v>
      </x:c>
      <x:c r="E29" t="str">
        <x:v>Spectral</x:v>
      </x:c>
      <x:c r="F29" s="4" t="n">
        <x:v>0.21030937631924948</x:v>
      </x:c>
      <x:c r="G29" s="4" t="n">
        <x:v>0.1949946234623591</x:v>
      </x:c>
      <x:c r="H29" s="4" t="n">
        <x:f>IF(OR(F29="",G29=""),"",F29-G29)</x:f>
        <x:v>0.015314752856890379</x:v>
      </x:c>
      <x:c r="I29" s="5" t="n">
        <x:f>IFERROR(H29/F29,"")</x:f>
        <x:v>0.07282011446623567</x:v>
      </x:c>
      <x:c r="J29" t="str">
        <x:f>IF(H29&gt;0,"Yes",IF(H29&lt;0,"No","Tie"))</x:f>
        <x:v>Yes</x:v>
      </x:c>
    </x:row>
    <x:row r="30">
      <x:c r="A30" t="str">
        <x:v>DLinear</x:v>
      </x:c>
      <x:c r="B30" t="str">
        <x:v>ETTh1</x:v>
      </x:c>
      <x:c r="C30" t="n">
        <x:v>96</x:v>
      </x:c>
      <x:c r="D30" t="str">
        <x:v>COSA-F</x:v>
      </x:c>
      <x:c r="E30" t="str">
        <x:v>Spectral</x:v>
      </x:c>
      <x:c r="F30" s="4" t="n">
        <x:v>0.4417733699083328</x:v>
      </x:c>
      <x:c r="G30" s="4" t="n">
        <x:v>0.4289526492357254</x:v>
      </x:c>
      <x:c r="H30" s="4" t="n">
        <x:f>IF(OR(F30="",G30=""),"",F30-G30)</x:f>
        <x:v>0.012820720672607422</x:v>
      </x:c>
      <x:c r="I30" s="5" t="n">
        <x:f>IFERROR(H30/F30,"")</x:f>
        <x:v>0.029021035548764965</x:v>
      </x:c>
      <x:c r="J30" t="str">
        <x:f>IF(H30&gt;0,"Yes",IF(H30&lt;0,"No","Tie"))</x:f>
        <x:v>Yes</x:v>
      </x:c>
    </x:row>
    <x:row r="31">
      <x:c r="A31" t="str">
        <x:v>DLinear</x:v>
      </x:c>
      <x:c r="B31" t="str">
        <x:v>ETTh1</x:v>
      </x:c>
      <x:c r="C31" t="n">
        <x:v>192</x:v>
      </x:c>
      <x:c r="D31" t="str">
        <x:v>COSA-F</x:v>
      </x:c>
      <x:c r="E31" t="str">
        <x:v>Spectral</x:v>
      </x:c>
      <x:c r="F31" s="4" t="n">
        <x:v>0.5067201554775238</x:v>
      </x:c>
      <x:c r="G31" s="4" t="n">
        <x:v>0.5014365613460541</x:v>
      </x:c>
      <x:c r="H31" s="4" t="n">
        <x:f>IF(OR(F31="",G31=""),"",F31-G31)</x:f>
        <x:v>0.0052835941314697266</x:v>
      </x:c>
      <x:c r="I31" s="5" t="n">
        <x:f>IFERROR(H31/F31,"")</x:f>
        <x:v>0.010427045528691403</x:v>
      </x:c>
      <x:c r="J31" t="str">
        <x:f>IF(H31&gt;0,"Yes",IF(H31&lt;0,"No","Tie"))</x:f>
        <x:v>Yes</x:v>
      </x:c>
    </x:row>
    <x:row r="32">
      <x:c r="A32" t="str">
        <x:v>DLinear</x:v>
      </x:c>
      <x:c r="B32" t="str">
        <x:v>ETTh1</x:v>
      </x:c>
      <x:c r="C32" t="n">
        <x:v>336</x:v>
      </x:c>
      <x:c r="D32" t="str">
        <x:v>COSA-F</x:v>
      </x:c>
      <x:c r="E32" t="str">
        <x:v>Spectral</x:v>
      </x:c>
      <x:c r="F32" s="4" t="n">
        <x:v>0.562071681022644</x:v>
      </x:c>
      <x:c r="G32" s="4" t="n">
        <x:v>0.5466431677341461</x:v>
      </x:c>
      <x:c r="H32" s="4" t="n">
        <x:f>IF(OR(F32="",G32=""),"",F32-G32)</x:f>
        <x:v>0.015428513288497925</x:v>
      </x:c>
      <x:c r="I32" s="5" t="n">
        <x:f>IFERROR(H32/F32,"")</x:f>
        <x:v>0.027449369554479228</x:v>
      </x:c>
      <x:c r="J32" t="str">
        <x:f>IF(H32&gt;0,"Yes",IF(H32&lt;0,"No","Tie"))</x:f>
        <x:v>Yes</x:v>
      </x:c>
    </x:row>
    <x:row r="33">
      <x:c r="A33" t="str">
        <x:v>DLinear</x:v>
      </x:c>
      <x:c r="B33" t="str">
        <x:v>ETTh1</x:v>
      </x:c>
      <x:c r="C33" t="n">
        <x:v>720</x:v>
      </x:c>
      <x:c r="D33" t="str">
        <x:v>COSA-F</x:v>
      </x:c>
      <x:c r="E33" t="str">
        <x:v>Spectral</x:v>
      </x:c>
      <x:c r="F33" s="4" t="n">
        <x:v>0.6534022986888885</x:v>
      </x:c>
      <x:c r="G33" s="4" t="n">
        <x:v>0.5779048502445221</x:v>
      </x:c>
      <x:c r="H33" s="4" t="n">
        <x:f>IF(OR(F33="",G33=""),"",F33-G33)</x:f>
        <x:v>0.07549744844436646</x:v>
      </x:c>
      <x:c r="I33" s="5" t="n">
        <x:f>IFERROR(H33/F33,"")</x:f>
        <x:v>0.11554512219479329</x:v>
      </x:c>
      <x:c r="J33" t="str">
        <x:f>IF(H33&gt;0,"Yes",IF(H33&lt;0,"No","Tie"))</x:f>
        <x:v>Yes</x:v>
      </x:c>
    </x:row>
    <x:row r="34">
      <x:c r="A34" t="str">
        <x:v>DLinear</x:v>
      </x:c>
      <x:c r="B34" t="str">
        <x:v>ETTh2</x:v>
      </x:c>
      <x:c r="C34" t="n">
        <x:v>96</x:v>
      </x:c>
      <x:c r="D34" t="str">
        <x:v>COSA-F</x:v>
      </x:c>
      <x:c r="E34" t="str">
        <x:v>Spectral</x:v>
      </x:c>
      <x:c r="F34" s="4" t="n">
        <x:v>0.17986025661230087</x:v>
      </x:c>
      <x:c r="G34" s="4" t="n">
        <x:v>0.17634927481412888</x:v>
      </x:c>
      <x:c r="H34" s="4" t="n">
        <x:f>IF(OR(F34="",G34=""),"",F34-G34)</x:f>
        <x:v>0.003510981798171997</x:v>
      </x:c>
      <x:c r="I34" s="5" t="n">
        <x:f>IFERROR(H34/F34,"")</x:f>
        <x:v>0.019520609301365115</x:v>
      </x:c>
      <x:c r="J34" t="str">
        <x:f>IF(H34&gt;0,"Yes",IF(H34&lt;0,"No","Tie"))</x:f>
        <x:v>Yes</x:v>
      </x:c>
    </x:row>
    <x:row r="35">
      <x:c r="A35" t="str">
        <x:v>DLinear</x:v>
      </x:c>
      <x:c r="B35" t="str">
        <x:v>ETTh2</x:v>
      </x:c>
      <x:c r="C35" t="n">
        <x:v>192</x:v>
      </x:c>
      <x:c r="D35" t="str">
        <x:v>COSA-F</x:v>
      </x:c>
      <x:c r="E35" t="str">
        <x:v>Spectral</x:v>
      </x:c>
      <x:c r="F35" s="4" t="n">
        <x:v>0.22802142798900604</x:v>
      </x:c>
      <x:c r="G35" s="4" t="n">
        <x:v>0.22928327322006226</x:v>
      </x:c>
      <x:c r="H35" s="4" t="n">
        <x:f>IF(OR(F35="",G35=""),"",F35-G35)</x:f>
        <x:v>-0.0012618452310562134</x:v>
      </x:c>
      <x:c r="I35" s="5" t="n">
        <x:f>IFERROR(H35/F35,"")</x:f>
        <x:v>-0.00553388881994482</x:v>
      </x:c>
      <x:c r="J35" t="str">
        <x:f>IF(H35&gt;0,"Yes",IF(H35&lt;0,"No","Tie"))</x:f>
        <x:v>No</x:v>
      </x:c>
    </x:row>
    <x:row r="36">
      <x:c r="A36" t="str">
        <x:v>DLinear</x:v>
      </x:c>
      <x:c r="B36" t="str">
        <x:v>ETTh2</x:v>
      </x:c>
      <x:c r="C36" t="n">
        <x:v>336</x:v>
      </x:c>
      <x:c r="D36" t="str">
        <x:v>COSA-F</x:v>
      </x:c>
      <x:c r="E36" t="str">
        <x:v>Spectral</x:v>
      </x:c>
      <x:c r="F36" s="4" t="n">
        <x:v>0.2520225793123245</x:v>
      </x:c>
      <x:c r="G36" s="4" t="n">
        <x:v>0.24613437056541443</x:v>
      </x:c>
      <x:c r="H36" s="4" t="n">
        <x:f>IF(OR(F36="",G36=""),"",F36-G36)</x:f>
        <x:v>0.005888208746910095</x:v>
      </x:c>
      <x:c r="I36" s="5" t="n">
        <x:f>IFERROR(H36/F36,"")</x:f>
        <x:v>0.023363814317656845</x:v>
      </x:c>
      <x:c r="J36" t="str">
        <x:f>IF(H36&gt;0,"Yes",IF(H36&lt;0,"No","Tie"))</x:f>
        <x:v>Yes</x:v>
      </x:c>
    </x:row>
    <x:row r="37">
      <x:c r="A37" t="str">
        <x:v>DLinear</x:v>
      </x:c>
      <x:c r="B37" t="str">
        <x:v>ETTh2</x:v>
      </x:c>
      <x:c r="C37" t="n">
        <x:v>720</x:v>
      </x:c>
      <x:c r="D37" t="str">
        <x:v>COSA-F</x:v>
      </x:c>
      <x:c r="E37" t="str">
        <x:v>Spectral</x:v>
      </x:c>
      <x:c r="F37" s="4" t="n">
        <x:v>0.27618786692619324</x:v>
      </x:c>
      <x:c r="G37" s="4" t="n">
        <x:v>0.2764386087656021</x:v>
      </x:c>
      <x:c r="H37" s="4" t="n">
        <x:f>IF(OR(F37="",G37=""),"",F37-G37)</x:f>
        <x:v>-0.0002507418394088745</x:v>
      </x:c>
      <x:c r="I37" s="5" t="n">
        <x:f>IFERROR(H37/F37,"")</x:f>
        <x:v>-0.0009078669609910171</x:v>
      </x:c>
      <x:c r="J37" t="str">
        <x:f>IF(H37&gt;0,"Yes",IF(H37&lt;0,"No","Tie"))</x:f>
        <x:v>No</x:v>
      </x:c>
    </x:row>
    <x:row r="38">
      <x:c r="A38" t="str">
        <x:v>DLinear</x:v>
      </x:c>
      <x:c r="B38" t="str">
        <x:v>ETTm1</x:v>
      </x:c>
      <x:c r="C38" t="n">
        <x:v>96</x:v>
      </x:c>
      <x:c r="D38" t="str">
        <x:v>COSA-F</x:v>
      </x:c>
      <x:c r="E38" t="str">
        <x:v>Spectral</x:v>
      </x:c>
      <x:c r="F38" s="4" t="n">
        <x:v>0.3495454490184784</x:v>
      </x:c>
      <x:c r="G38" s="4" t="n">
        <x:v>0.33328162133693695</x:v>
      </x:c>
      <x:c r="H38" s="4" t="n">
        <x:f>IF(OR(F38="",G38=""),"",F38-G38)</x:f>
        <x:v>0.016263827681541443</x:v>
      </x:c>
      <x:c r="I38" s="5" t="n">
        <x:f>IFERROR(H38/F38,"")</x:f>
        <x:v>0.04652850645662868</x:v>
      </x:c>
      <x:c r="J38" t="str">
        <x:f>IF(H38&gt;0,"Yes",IF(H38&lt;0,"No","Tie"))</x:f>
        <x:v>Yes</x:v>
      </x:c>
    </x:row>
    <x:row r="39">
      <x:c r="A39" t="str">
        <x:v>DLinear</x:v>
      </x:c>
      <x:c r="B39" t="str">
        <x:v>ETTm1</x:v>
      </x:c>
      <x:c r="C39" t="n">
        <x:v>192</x:v>
      </x:c>
      <x:c r="D39" t="str">
        <x:v>COSA-F</x:v>
      </x:c>
      <x:c r="E39" t="str">
        <x:v>Spectral</x:v>
      </x:c>
      <x:c r="F39" s="4" t="n">
        <x:v>0.42623889446258545</x:v>
      </x:c>
      <x:c r="G39" s="4" t="n">
        <x:v>0.39872419834136963</x:v>
      </x:c>
      <x:c r="H39" s="4" t="n">
        <x:f>IF(OR(F39="",G39=""),"",F39-G39)</x:f>
        <x:v>0.02751469612121582</x:v>
      </x:c>
      <x:c r="I39" s="5" t="n">
        <x:f>IFERROR(H39/F39,"")</x:f>
        <x:v>0.06455228858433287</x:v>
      </x:c>
      <x:c r="J39" t="str">
        <x:f>IF(H39&gt;0,"Yes",IF(H39&lt;0,"No","Tie"))</x:f>
        <x:v>Yes</x:v>
      </x:c>
    </x:row>
    <x:row r="40">
      <x:c r="A40" t="str">
        <x:v>DLinear</x:v>
      </x:c>
      <x:c r="B40" t="str">
        <x:v>ETTm1</x:v>
      </x:c>
      <x:c r="C40" t="n">
        <x:v>336</x:v>
      </x:c>
      <x:c r="D40" t="str">
        <x:v>COSA-F</x:v>
      </x:c>
      <x:c r="E40" t="str">
        <x:v>Spectral</x:v>
      </x:c>
      <x:c r="F40" s="4" t="n">
        <x:v>0.5020084381103516</x:v>
      </x:c>
      <x:c r="G40" s="4" t="n">
        <x:v>0.45435258746147156</x:v>
      </x:c>
      <x:c r="H40" s="4" t="n">
        <x:f>IF(OR(F40="",G40=""),"",F40-G40)</x:f>
        <x:v>0.047655850648880005</x:v>
      </x:c>
      <x:c r="I40" s="5" t="n">
        <x:f>IFERROR(H40/F40,"")</x:f>
        <x:v>0.09493037772087068</x:v>
      </x:c>
      <x:c r="J40" t="str">
        <x:f>IF(H40&gt;0,"Yes",IF(H40&lt;0,"No","Tie"))</x:f>
        <x:v>Yes</x:v>
      </x:c>
    </x:row>
    <x:row r="41">
      <x:c r="A41" t="str">
        <x:v>DLinear</x:v>
      </x:c>
      <x:c r="B41" t="str">
        <x:v>ETTm1</x:v>
      </x:c>
      <x:c r="C41" t="n">
        <x:v>720</x:v>
      </x:c>
      <x:c r="D41" t="str">
        <x:v>COSA-F</x:v>
      </x:c>
      <x:c r="E41" t="str">
        <x:v>Spectral</x:v>
      </x:c>
      <x:c r="F41" s="4" t="n">
        <x:v>0.5418244004249573</x:v>
      </x:c>
      <x:c r="G41" s="4" t="n">
        <x:v>0.4653928130865097</x:v>
      </x:c>
      <x:c r="H41" s="4" t="n">
        <x:f>IF(OR(F41="",G41=""),"",F41-G41)</x:f>
        <x:v>0.07643158733844757</x:v>
      </x:c>
      <x:c r="I41" s="5" t="n">
        <x:f>IFERROR(H41/F41,"")</x:f>
        <x:v>0.14106339116234273</x:v>
      </x:c>
      <x:c r="J41" t="str">
        <x:f>IF(H41&gt;0,"Yes",IF(H41&lt;0,"No","Tie"))</x:f>
        <x:v>Yes</x:v>
      </x:c>
    </x:row>
    <x:row r="42">
      <x:c r="A42" t="str">
        <x:v>DLinear</x:v>
      </x:c>
      <x:c r="B42" t="str">
        <x:v>ETTm2</x:v>
      </x:c>
      <x:c r="C42" t="n">
        <x:v>96</x:v>
      </x:c>
      <x:c r="D42" t="str">
        <x:v>COSA-F</x:v>
      </x:c>
      <x:c r="E42" t="str">
        <x:v>Spectral</x:v>
      </x:c>
      <x:c r="F42" s="4" t="n">
        <x:v>0.12250127270817757</x:v>
      </x:c>
      <x:c r="G42" s="4" t="n">
        <x:v>0.11735377833247185</x:v>
      </x:c>
      <x:c r="H42" s="4" t="n">
        <x:f>IF(OR(F42="",G42=""),"",F42-G42)</x:f>
        <x:v>0.005147494375705719</x:v>
      </x:c>
      <x:c r="I42" s="5" t="n">
        <x:f>IFERROR(H42/F42,"")</x:f>
        <x:v>0.04201992568655247</x:v>
      </x:c>
      <x:c r="J42" t="str">
        <x:f>IF(H42&gt;0,"Yes",IF(H42&lt;0,"No","Tie"))</x:f>
        <x:v>Yes</x:v>
      </x:c>
    </x:row>
    <x:row r="43">
      <x:c r="A43" t="str">
        <x:v>DLinear</x:v>
      </x:c>
      <x:c r="B43" t="str">
        <x:v>ETTm2</x:v>
      </x:c>
      <x:c r="C43" t="n">
        <x:v>192</x:v>
      </x:c>
      <x:c r="D43" t="str">
        <x:v>COSA-F</x:v>
      </x:c>
      <x:c r="E43" t="str">
        <x:v>Spectral</x:v>
      </x:c>
      <x:c r="F43" s="4" t="n">
        <x:v>0.16379431635141373</x:v>
      </x:c>
      <x:c r="G43" s="4" t="n">
        <x:v>0.15472237020730972</x:v>
      </x:c>
      <x:c r="H43" s="4" t="n">
        <x:f>IF(OR(F43="",G43=""),"",F43-G43)</x:f>
        <x:v>0.009071946144104004</x:v>
      </x:c>
      <x:c r="I43" s="5" t="n">
        <x:f>IFERROR(H43/F43,"")</x:f>
        <x:v>0.055386208423987865</x:v>
      </x:c>
      <x:c r="J43" t="str">
        <x:f>IF(H43&gt;0,"Yes",IF(H43&lt;0,"No","Tie"))</x:f>
        <x:v>Yes</x:v>
      </x:c>
    </x:row>
    <x:row r="44">
      <x:c r="A44" t="str">
        <x:v>DLinear</x:v>
      </x:c>
      <x:c r="B44" t="str">
        <x:v>ETTm2</x:v>
      </x:c>
      <x:c r="C44" t="n">
        <x:v>336</x:v>
      </x:c>
      <x:c r="D44" t="str">
        <x:v>COSA-F</x:v>
      </x:c>
      <x:c r="E44" t="str">
        <x:v>Spectral</x:v>
      </x:c>
      <x:c r="F44" s="4" t="n">
        <x:v>0.1895742043852806</x:v>
      </x:c>
      <x:c r="G44" s="4" t="n">
        <x:v>0.16367222368717194</x:v>
      </x:c>
      <x:c r="H44" s="4" t="n">
        <x:f>IF(OR(F44="",G44=""),"",F44-G44)</x:f>
        <x:v>0.025901980698108673</x:v>
      </x:c>
      <x:c r="I44" s="5" t="n">
        <x:f>IFERROR(H44/F44,"")</x:f>
        <x:v>0.13663241147232696</x:v>
      </x:c>
      <x:c r="J44" t="str">
        <x:f>IF(H44&gt;0,"Yes",IF(H44&lt;0,"No","Tie"))</x:f>
        <x:v>Yes</x:v>
      </x:c>
    </x:row>
    <x:row r="45">
      <x:c r="A45" t="str">
        <x:v>DLinear</x:v>
      </x:c>
      <x:c r="B45" t="str">
        <x:v>ETTm2</x:v>
      </x:c>
      <x:c r="C45" t="n">
        <x:v>720</x:v>
      </x:c>
      <x:c r="D45" t="str">
        <x:v>COSA-F</x:v>
      </x:c>
      <x:c r="E45" t="str">
        <x:v>Spectral</x:v>
      </x:c>
      <x:c r="F45" s="4" t="n">
        <x:v>0.21949848532676697</x:v>
      </x:c>
      <x:c r="G45" s="4" t="n">
        <x:v>0.17237059772014618</x:v>
      </x:c>
      <x:c r="H45" s="4" t="n">
        <x:f>IF(OR(F45="",G45=""),"",F45-G45)</x:f>
        <x:v>0.04712788760662079</x:v>
      </x:c>
      <x:c r="I45" s="5" t="n">
        <x:f>IFERROR(H45/F45,"")</x:f>
        <x:v>0.21470711989862523</x:v>
      </x:c>
      <x:c r="J45" t="str">
        <x:f>IF(H45&gt;0,"Yes",IF(H45&lt;0,"No","Tie"))</x:f>
        <x:v>Yes</x:v>
      </x:c>
    </x:row>
    <x:row r="46">
      <x:c r="A46" t="str">
        <x:v>DLinear</x:v>
      </x:c>
      <x:c r="B46" t="str">
        <x:v>Exchange Rate</x:v>
      </x:c>
      <x:c r="C46" t="n">
        <x:v>96</x:v>
      </x:c>
      <x:c r="D46" t="str">
        <x:v>COSA-F</x:v>
      </x:c>
      <x:c r="E46" t="str">
        <x:v>Spectral</x:v>
      </x:c>
      <x:c r="F46" s="4" t="n">
        <x:v>0.08432021737098694</x:v>
      </x:c>
      <x:c r="G46" s="4" t="n">
        <x:v>0.08384042233228683</x:v>
      </x:c>
      <x:c r="H46" s="4" t="n">
        <x:f>IF(OR(F46="",G46=""),"",F46-G46)</x:f>
        <x:v>0.00047979503870010376</x:v>
      </x:c>
      <x:c r="I46" s="5" t="n">
        <x:f>IFERROR(H46/F46,"")</x:f>
        <x:v>0.005690154196224742</x:v>
      </x:c>
      <x:c r="J46" t="str">
        <x:f>IF(H46&gt;0,"Yes",IF(H46&lt;0,"No","Tie"))</x:f>
        <x:v>Yes</x:v>
      </x:c>
    </x:row>
    <x:row r="47">
      <x:c r="A47" t="str">
        <x:v>DLinear</x:v>
      </x:c>
      <x:c r="B47" t="str">
        <x:v>Exchange Rate</x:v>
      </x:c>
      <x:c r="C47" t="n">
        <x:v>192</x:v>
      </x:c>
      <x:c r="D47" t="str">
        <x:v>COSA-F</x:v>
      </x:c>
      <x:c r="E47" t="str">
        <x:v>Spectral</x:v>
      </x:c>
      <x:c r="F47" s="4" t="n">
        <x:v>0.15921810269355774</x:v>
      </x:c>
      <x:c r="G47" s="4" t="n">
        <x:v>0.15214408934116364</x:v>
      </x:c>
      <x:c r="H47" s="4" t="n">
        <x:f>IF(OR(F47="",G47=""),"",F47-G47)</x:f>
        <x:v>0.007074013352394104</x:v>
      </x:c>
      <x:c r="I47" s="5" t="n">
        <x:f>IFERROR(H47/F47,"")</x:f>
        <x:v>0.044429705119707674</x:v>
      </x:c>
      <x:c r="J47" t="str">
        <x:f>IF(H47&gt;0,"Yes",IF(H47&lt;0,"No","Tie"))</x:f>
        <x:v>Yes</x:v>
      </x:c>
    </x:row>
    <x:row r="48">
      <x:c r="A48" t="str">
        <x:v>DLinear</x:v>
      </x:c>
      <x:c r="B48" t="str">
        <x:v>Exchange Rate</x:v>
      </x:c>
      <x:c r="C48" t="n">
        <x:v>336</x:v>
      </x:c>
      <x:c r="D48" t="str">
        <x:v>COSA-F</x:v>
      </x:c>
      <x:c r="E48" t="str">
        <x:v>Spectral</x:v>
      </x:c>
      <x:c r="F48" s="4" t="n">
        <x:v>0.21998795121908188</x:v>
      </x:c>
      <x:c r="G48" s="4" t="n">
        <x:v>0.21114712208509445</x:v>
      </x:c>
      <x:c r="H48" s="4" t="n">
        <x:f>IF(OR(F48="",G48=""),"",F48-G48)</x:f>
        <x:v>0.008840829133987427</x:v>
      </x:c>
      <x:c r="I48" s="5" t="n">
        <x:f>IFERROR(H48/F48,"")</x:f>
        <x:v>0.04018778794472708</x:v>
      </x:c>
      <x:c r="J48" t="str">
        <x:f>IF(H48&gt;0,"Yes",IF(H48&lt;0,"No","Tie"))</x:f>
        <x:v>Yes</x:v>
      </x:c>
    </x:row>
    <x:row r="49">
      <x:c r="A49" t="str">
        <x:v>DLinear</x:v>
      </x:c>
      <x:c r="B49" t="str">
        <x:v>Exchange Rate</x:v>
      </x:c>
      <x:c r="C49" t="n">
        <x:v>720</x:v>
      </x:c>
      <x:c r="D49" t="str">
        <x:v>COSA-F</x:v>
      </x:c>
      <x:c r="E49" t="str">
        <x:v>Spectral</x:v>
      </x:c>
      <x:c r="F49" s="4" t="n">
        <x:v>0.32716579735279083</x:v>
      </x:c>
      <x:c r="G49" s="4" t="n">
        <x:v>0.3222336918115616</x:v>
      </x:c>
      <x:c r="H49" s="4" t="n">
        <x:f>IF(OR(F49="",G49=""),"",F49-G49)</x:f>
        <x:v>0.004932105541229248</x:v>
      </x:c>
      <x:c r="I49" s="5" t="n">
        <x:f>IFERROR(H49/F49,"")</x:f>
        <x:v>0.015075248027564565</x:v>
      </x:c>
      <x:c r="J49" t="str">
        <x:f>IF(H49&gt;0,"Yes",IF(H49&lt;0,"No","Tie"))</x:f>
        <x:v>Yes</x:v>
      </x:c>
    </x:row>
    <x:row r="50">
      <x:c r="A50" t="str">
        <x:v>DLinear</x:v>
      </x:c>
      <x:c r="B50" t="str">
        <x:v>weather</x:v>
      </x:c>
      <x:c r="C50" t="n">
        <x:v>96</x:v>
      </x:c>
      <x:c r="D50" t="str">
        <x:v>COSA-F</x:v>
      </x:c>
      <x:c r="E50" t="str">
        <x:v>Spectral</x:v>
      </x:c>
      <x:c r="F50" s="4" t="n">
        <x:v>0.18859661370515823</x:v>
      </x:c>
      <x:c r="G50" s="4" t="n">
        <x:v>0.18427637219429016</x:v>
      </x:c>
      <x:c r="H50" s="4" t="n">
        <x:f>IF(OR(F50="",G50=""),"",F50-G50)</x:f>
        <x:v>0.0043202415108680725</x:v>
      </x:c>
      <x:c r="I50" s="5" t="n">
        <x:f>IFERROR(H50/F50,"")</x:f>
        <x:v>0.022907312204566436</x:v>
      </x:c>
      <x:c r="J50" t="str">
        <x:f>IF(H50&gt;0,"Yes",IF(H50&lt;0,"No","Tie"))</x:f>
        <x:v>Yes</x:v>
      </x:c>
    </x:row>
    <x:row r="51">
      <x:c r="A51" t="str">
        <x:v>DLinear</x:v>
      </x:c>
      <x:c r="B51" t="str">
        <x:v>weather</x:v>
      </x:c>
      <x:c r="C51" t="n">
        <x:v>192</x:v>
      </x:c>
      <x:c r="D51" t="str">
        <x:v>COSA-F</x:v>
      </x:c>
      <x:c r="E51" t="str">
        <x:v>Spectral</x:v>
      </x:c>
      <x:c r="F51" s="4" t="n">
        <x:v>0.24252643436193466</x:v>
      </x:c>
      <x:c r="G51" s="4" t="n">
        <x:v>0.2268565148115158</x:v>
      </x:c>
      <x:c r="H51" s="4" t="n">
        <x:f>IF(OR(F51="",G51=""),"",F51-G51)</x:f>
        <x:v>0.015669919550418854</x:v>
      </x:c>
      <x:c r="I51" s="5" t="n">
        <x:f>IFERROR(H51/F51,"")</x:f>
        <x:v>0.0646111818352709</x:v>
      </x:c>
      <x:c r="J51" t="str">
        <x:f>IF(H51&gt;0,"Yes",IF(H51&lt;0,"No","Tie"))</x:f>
        <x:v>Yes</x:v>
      </x:c>
    </x:row>
    <x:row r="52">
      <x:c r="A52" t="str">
        <x:v>DLinear</x:v>
      </x:c>
      <x:c r="B52" t="str">
        <x:v>weather</x:v>
      </x:c>
      <x:c r="C52" t="n">
        <x:v>336</x:v>
      </x:c>
      <x:c r="D52" t="str">
        <x:v>COSA-F</x:v>
      </x:c>
      <x:c r="E52" t="str">
        <x:v>Spectral</x:v>
      </x:c>
      <x:c r="F52" s="4" t="n">
        <x:v>0.309137687087059</x:v>
      </x:c>
      <x:c r="G52" s="4" t="n">
        <x:v>0.23343678563833237</x:v>
      </x:c>
      <x:c r="H52" s="4" t="n">
        <x:f>IF(OR(F52="",G52=""),"",F52-G52)</x:f>
        <x:v>0.07570090144872665</x:v>
      </x:c>
      <x:c r="I52" s="5" t="n">
        <x:f>IFERROR(H52/F52,"")</x:f>
        <x:v>0.24487762123745155</x:v>
      </x:c>
      <x:c r="J52" t="str">
        <x:f>IF(H52&gt;0,"Yes",IF(H52&lt;0,"No","Tie"))</x:f>
        <x:v>Yes</x:v>
      </x:c>
    </x:row>
    <x:row r="53">
      <x:c r="A53" t="str">
        <x:v>DLinear</x:v>
      </x:c>
      <x:c r="B53" t="str">
        <x:v>weather</x:v>
      </x:c>
      <x:c r="C53" t="n">
        <x:v>720</x:v>
      </x:c>
      <x:c r="D53" t="str">
        <x:v>COSA-F</x:v>
      </x:c>
      <x:c r="E53" t="str">
        <x:v>Spectral</x:v>
      </x:c>
      <x:c r="F53" s="4" t="n">
        <x:v>0.335310623049736</x:v>
      </x:c>
      <x:c r="G53" s="4" t="n">
        <x:v>0.22317377477884293</x:v>
      </x:c>
      <x:c r="H53" s="4" t="n">
        <x:f>IF(OR(F53="",G53=""),"",F53-G53)</x:f>
        <x:v>0.1121368482708931</x:v>
      </x:c>
      <x:c r="I53" s="5" t="n">
        <x:f>IFERROR(H53/F53,"")</x:f>
        <x:v>0.33442676897910284</x:v>
      </x:c>
      <x:c r="J53" t="str">
        <x:f>IF(H53&gt;0,"Yes",IF(H53&lt;0,"No","Tie"))</x:f>
        <x:v>Yes</x:v>
      </x:c>
    </x:row>
    <x:row r="54">
      <x:c r="A54" t="str">
        <x:v>DLinear</x:v>
      </x:c>
      <x:c r="B54" t="str">
        <x:v>electricity</x:v>
      </x:c>
      <x:c r="C54" t="n">
        <x:v>96</x:v>
      </x:c>
      <x:c r="D54" t="str">
        <x:v>COSA-F</x:v>
      </x:c>
      <x:c r="E54" t="str">
        <x:v>Spectral</x:v>
      </x:c>
      <x:c r="F54" s="4" t="n">
        <x:v>0.2065176119407018</x:v>
      </x:c>
      <x:c r="G54" s="4" t="n">
        <x:v>0.20203814407189688</x:v>
      </x:c>
      <x:c r="H54" s="4" t="n">
        <x:f>IF(OR(F54="",G54=""),"",F54-G54)</x:f>
        <x:v>0.004479467868804932</x:v>
      </x:c>
      <x:c r="I54" s="5" t="n">
        <x:f>IFERROR(H54/F54,"")</x:f>
        <x:v>0.021690488412635423</x:v>
      </x:c>
      <x:c r="J54" t="str">
        <x:f>IF(H54&gt;0,"Yes",IF(H54&lt;0,"No","Tie"))</x:f>
        <x:v>Yes</x:v>
      </x:c>
    </x:row>
    <x:row r="55">
      <x:c r="A55" t="str">
        <x:v>DLinear</x:v>
      </x:c>
      <x:c r="B55" t="str">
        <x:v>electricity</x:v>
      </x:c>
      <x:c r="C55" t="n">
        <x:v>192</x:v>
      </x:c>
      <x:c r="D55" t="str">
        <x:v>COSA-F</x:v>
      </x:c>
      <x:c r="E55" t="str">
        <x:v>Spectral</x:v>
      </x:c>
      <x:c r="F55" s="4" t="n">
        <x:v>0.20600292086601257</x:v>
      </x:c>
      <x:c r="G55" s="4" t="n">
        <x:v>0.20206349591414133</x:v>
      </x:c>
      <x:c r="H55" s="4" t="n">
        <x:f>IF(OR(F55="",G55=""),"",F55-G55)</x:f>
        <x:v>0.003939424951871245</x:v>
      </x:c>
      <x:c r="I55" s="5" t="n">
        <x:f>IFERROR(H55/F55,"")</x:f>
        <x:v>0.019123150950046516</x:v>
      </x:c>
      <x:c r="J55" t="str">
        <x:f>IF(H55&gt;0,"Yes",IF(H55&lt;0,"No","Tie"))</x:f>
        <x:v>Yes</x:v>
      </x:c>
    </x:row>
    <x:row r="56">
      <x:c r="A56" t="str">
        <x:v>DLinear</x:v>
      </x:c>
      <x:c r="B56" t="str">
        <x:v>electricity</x:v>
      </x:c>
      <x:c r="C56" t="n">
        <x:v>336</x:v>
      </x:c>
      <x:c r="D56" t="str">
        <x:v>COSA-F</x:v>
      </x:c>
      <x:c r="E56" t="str">
        <x:v>Spectral</x:v>
      </x:c>
      <x:c r="F56" s="4" t="n">
        <x:v>0.21519512931505838</x:v>
      </x:c>
      <x:c r="G56" s="4" t="n">
        <x:v>0.21033125619093576</x:v>
      </x:c>
      <x:c r="H56" s="4" t="n">
        <x:f>IF(OR(F56="",G56=""),"",F56-G56)</x:f>
        <x:v>0.00486387312412262</x:v>
      </x:c>
      <x:c r="I56" s="5" t="n">
        <x:f>IFERROR(H56/F56,"")</x:f>
        <x:v>0.022602152472520055</x:v>
      </x:c>
      <x:c r="J56" t="str">
        <x:f>IF(H56&gt;0,"Yes",IF(H56&lt;0,"No","Tie"))</x:f>
        <x:v>Yes</x:v>
      </x:c>
    </x:row>
    <x:row r="57">
      <x:c r="A57" t="str">
        <x:v>DLinear</x:v>
      </x:c>
      <x:c r="B57" t="str">
        <x:v>electricity</x:v>
      </x:c>
      <x:c r="C57" t="n">
        <x:v>720</x:v>
      </x:c>
      <x:c r="D57" t="str">
        <x:v>COSA-F</x:v>
      </x:c>
      <x:c r="E57" t="str">
        <x:v>Spectral</x:v>
      </x:c>
      <x:c r="F57" s="4" t="n">
        <x:v>0.24343651036421457</x:v>
      </x:c>
      <x:c r="G57" s="4" t="n">
        <x:v>0.2230801284313202</x:v>
      </x:c>
      <x:c r="H57" s="4" t="n">
        <x:f>IF(OR(F57="",G57=""),"",F57-G57)</x:f>
        <x:v>0.02035638193289438</x:v>
      </x:c>
      <x:c r="I57" s="5" t="n">
        <x:f>IFERROR(H57/F57,"")</x:f>
        <x:v>0.08362090757232113</x:v>
      </x:c>
      <x:c r="J57" t="str">
        <x:f>IF(H57&gt;0,"Yes",IF(H57&lt;0,"No","Tie"))</x:f>
        <x:v>Yes</x:v>
      </x:c>
    </x:row>
    <x:row r="58">
      <x:c r="A58" t="str">
        <x:v>DLinear</x:v>
      </x:c>
      <x:c r="B58" t="str">
        <x:v>traffic</x:v>
      </x:c>
      <x:c r="C58" t="n">
        <x:v>96</x:v>
      </x:c>
      <x:c r="D58" t="str">
        <x:v>COSA-F</x:v>
      </x:c>
      <x:c r="E58" t="str">
        <x:v>Spectral</x:v>
      </x:c>
      <x:c r="F58" s="4" t="n">
        <x:v>0.6705994804700216</x:v>
      </x:c>
      <x:c r="G58" s="4" t="n">
        <x:v>0.6693957249323527</x:v>
      </x:c>
      <x:c r="H58" s="4" t="n">
        <x:f>IF(OR(F58="",G58=""),"",F58-G58)</x:f>
        <x:v>0.001203755537668938</x:v>
      </x:c>
      <x:c r="I58" s="5" t="n">
        <x:f>IFERROR(H58/F58,"")</x:f>
        <x:v>0.0017950439460901887</x:v>
      </x:c>
      <x:c r="J58" t="str">
        <x:f>IF(H58&gt;0,"Yes",IF(H58&lt;0,"No","Tie"))</x:f>
        <x:v>Yes</x:v>
      </x:c>
    </x:row>
    <x:row r="59">
      <x:c r="A59" t="str">
        <x:v>DLinear</x:v>
      </x:c>
      <x:c r="B59" t="str">
        <x:v>traffic</x:v>
      </x:c>
      <x:c r="C59" t="n">
        <x:v>192</x:v>
      </x:c>
      <x:c r="D59" t="str">
        <x:v>COSA-F</x:v>
      </x:c>
      <x:c r="E59" t="str">
        <x:v>Spectral</x:v>
      </x:c>
      <x:c r="F59" s="4" t="n">
        <x:v>0.6250709692637125</x:v>
      </x:c>
      <x:c r="G59" s="4" t="n">
        <x:v>0.6231372356414795</x:v>
      </x:c>
      <x:c r="H59" s="4" t="n">
        <x:f>IF(OR(F59="",G59=""),"",F59-G59)</x:f>
        <x:v>0.001933733622233036</x:v>
      </x:c>
      <x:c r="I59" s="5" t="n">
        <x:f>IFERROR(H59/F59,"")</x:f>
        <x:v>0.0030936225121938254</x:v>
      </x:c>
      <x:c r="J59" t="str">
        <x:f>IF(H59&gt;0,"Yes",IF(H59&lt;0,"No","Tie"))</x:f>
        <x:v>Yes</x:v>
      </x:c>
    </x:row>
    <x:row r="60">
      <x:c r="A60" t="str">
        <x:v>DLinear</x:v>
      </x:c>
      <x:c r="B60" t="str">
        <x:v>traffic</x:v>
      </x:c>
      <x:c r="C60" t="n">
        <x:v>336</x:v>
      </x:c>
      <x:c r="D60" t="str">
        <x:v>COSA-F</x:v>
      </x:c>
      <x:c r="E60" t="str">
        <x:v>Spectral</x:v>
      </x:c>
      <x:c r="F60" s="4" t="n">
        <x:v>0.631888230641683</x:v>
      </x:c>
      <x:c r="G60" s="4" t="n">
        <x:v>0.6306936343510946</x:v>
      </x:c>
      <x:c r="H60" s="4" t="n">
        <x:f>IF(OR(F60="",G60=""),"",F60-G60)</x:f>
        <x:v>0.001194596290588379</x:v>
      </x:c>
      <x:c r="I60" s="5" t="n">
        <x:f>IFERROR(H60/F60,"")</x:f>
        <x:v>0.0018905183427380273</x:v>
      </x:c>
      <x:c r="J60" t="str">
        <x:f>IF(H60&gt;0,"Yes",IF(H60&lt;0,"No","Tie"))</x:f>
        <x:v>Yes</x:v>
      </x:c>
    </x:row>
    <x:row r="61">
      <x:c r="A61" t="str">
        <x:v>DLinear</x:v>
      </x:c>
      <x:c r="B61" t="str">
        <x:v>traffic</x:v>
      </x:c>
      <x:c r="C61" t="n">
        <x:v>720</x:v>
      </x:c>
      <x:c r="D61" t="str">
        <x:v>COSA-F</x:v>
      </x:c>
      <x:c r="E61" t="str">
        <x:v>Spectral</x:v>
      </x:c>
      <x:c r="F61" s="4" t="n">
        <x:v>0.6696911454200745</x:v>
      </x:c>
      <x:c r="G61" s="4" t="n">
        <x:v>0.6635934511820475</x:v>
      </x:c>
      <x:c r="H61" s="4" t="n">
        <x:f>IF(OR(F61="",G61=""),"",F61-G61)</x:f>
        <x:v>0.006097694238026974</x:v>
      </x:c>
      <x:c r="I61" s="5" t="n">
        <x:f>IFERROR(H61/F61,"")</x:f>
        <x:v>0.00910523347923631</x:v>
      </x:c>
      <x:c r="J61" t="str">
        <x:f>IF(H61&gt;0,"Yes",IF(H61&lt;0,"No","Tie"))</x:f>
        <x:v>Yes</x:v>
      </x:c>
    </x:row>
    <x:row r="62">
      <x:c r="A62" t="str">
        <x:v>FreTS</x:v>
      </x:c>
      <x:c r="B62" t="str">
        <x:v>ETTh1</x:v>
      </x:c>
      <x:c r="C62" t="n">
        <x:v>96</x:v>
      </x:c>
      <x:c r="D62" t="str">
        <x:v>COSA-F</x:v>
      </x:c>
      <x:c r="E62" t="str">
        <x:v>Spectral</x:v>
      </x:c>
      <x:c r="F62" s="4" t="n">
        <x:v>0.4314335435628891</x:v>
      </x:c>
      <x:c r="G62" s="4" t="n">
        <x:v>0.4157506823539734</x:v>
      </x:c>
      <x:c r="H62" s="4" t="n">
        <x:f>IF(OR(F62="",G62=""),"",F62-G62)</x:f>
        <x:v>0.01568286120891571</x:v>
      </x:c>
      <x:c r="I62" s="5" t="n">
        <x:f>IFERROR(H62/F62,"")</x:f>
        <x:v>0.03635058386838124</x:v>
      </x:c>
      <x:c r="J62" t="str">
        <x:f>IF(H62&gt;0,"Yes",IF(H62&lt;0,"No","Tie"))</x:f>
        <x:v>Yes</x:v>
      </x:c>
    </x:row>
    <x:row r="63">
      <x:c r="A63" t="str">
        <x:v>FreTS</x:v>
      </x:c>
      <x:c r="B63" t="str">
        <x:v>ETTh1</x:v>
      </x:c>
      <x:c r="C63" t="n">
        <x:v>192</x:v>
      </x:c>
      <x:c r="D63" t="str">
        <x:v>COSA-F</x:v>
      </x:c>
      <x:c r="E63" t="str">
        <x:v>Spectral</x:v>
      </x:c>
      <x:c r="F63" s="4" t="n">
        <x:v>0.4975403994321823</x:v>
      </x:c>
      <x:c r="G63" s="4" t="n">
        <x:v>0.4913288652896881</x:v>
      </x:c>
      <x:c r="H63" s="4" t="n">
        <x:f>IF(OR(F63="",G63=""),"",F63-G63)</x:f>
        <x:v>0.006211534142494202</x:v>
      </x:c>
      <x:c r="I63" s="5" t="n">
        <x:f>IFERROR(H63/F63,"")</x:f>
        <x:v>0.012484481962837815</x:v>
      </x:c>
      <x:c r="J63" t="str">
        <x:f>IF(H63&gt;0,"Yes",IF(H63&lt;0,"No","Tie"))</x:f>
        <x:v>Yes</x:v>
      </x:c>
    </x:row>
    <x:row r="64">
      <x:c r="A64" t="str">
        <x:v>FreTS</x:v>
      </x:c>
      <x:c r="B64" t="str">
        <x:v>ETTh1</x:v>
      </x:c>
      <x:c r="C64" t="n">
        <x:v>336</x:v>
      </x:c>
      <x:c r="D64" t="str">
        <x:v>COSA-F</x:v>
      </x:c>
      <x:c r="E64" t="str">
        <x:v>Spectral</x:v>
      </x:c>
      <x:c r="F64" s="4" t="n">
        <x:v>0.5543284118175507</x:v>
      </x:c>
      <x:c r="G64" s="4" t="n">
        <x:v>0.5426894426345825</x:v>
      </x:c>
      <x:c r="H64" s="4" t="n">
        <x:f>IF(OR(F64="",G64=""),"",F64-G64)</x:f>
        <x:v>0.01163896918296814</x:v>
      </x:c>
      <x:c r="I64" s="5" t="n">
        <x:f>IFERROR(H64/F64,"")</x:f>
        <x:v>0.020996522882177182</x:v>
      </x:c>
      <x:c r="J64" t="str">
        <x:f>IF(H64&gt;0,"Yes",IF(H64&lt;0,"No","Tie"))</x:f>
        <x:v>Yes</x:v>
      </x:c>
    </x:row>
    <x:row r="65">
      <x:c r="A65" t="str">
        <x:v>FreTS</x:v>
      </x:c>
      <x:c r="B65" t="str">
        <x:v>ETTh1</x:v>
      </x:c>
      <x:c r="C65" t="n">
        <x:v>720</x:v>
      </x:c>
      <x:c r="D65" t="str">
        <x:v>COSA-F</x:v>
      </x:c>
      <x:c r="E65" t="str">
        <x:v>Spectral</x:v>
      </x:c>
      <x:c r="F65" s="4" t="n">
        <x:v>0.6467782557010651</x:v>
      </x:c>
      <x:c r="G65" s="4" t="n">
        <x:v>0.588626354932785</x:v>
      </x:c>
      <x:c r="H65" s="4" t="n">
        <x:f>IF(OR(F65="",G65=""),"",F65-G65)</x:f>
        <x:v>0.05815190076828003</x:v>
      </x:c>
      <x:c r="I65" s="5" t="n">
        <x:f>IFERROR(H65/F65,"")</x:f>
        <x:v>0.08991010482448454</x:v>
      </x:c>
      <x:c r="J65" t="str">
        <x:f>IF(H65&gt;0,"Yes",IF(H65&lt;0,"No","Tie"))</x:f>
        <x:v>Yes</x:v>
      </x:c>
    </x:row>
    <x:row r="66">
      <x:c r="A66" t="str">
        <x:v>FreTS</x:v>
      </x:c>
      <x:c r="B66" t="str">
        <x:v>ETTh2</x:v>
      </x:c>
      <x:c r="C66" t="n">
        <x:v>96</x:v>
      </x:c>
      <x:c r="D66" t="str">
        <x:v>COSA-F</x:v>
      </x:c>
      <x:c r="E66" t="str">
        <x:v>Spectral</x:v>
      </x:c>
      <x:c r="F66" s="4" t="n">
        <x:v>0.18600905686616898</x:v>
      </x:c>
      <x:c r="G66" s="4" t="n">
        <x:v>0.18530026078224182</x:v>
      </x:c>
      <x:c r="H66" s="4" t="n">
        <x:f>IF(OR(F66="",G66=""),"",F66-G66)</x:f>
        <x:v>0.0007087960839271545</x:v>
      </x:c>
      <x:c r="I66" s="5" t="n">
        <x:f>IFERROR(H66/F66,"")</x:f>
        <x:v>0.003810546087748425</x:v>
      </x:c>
      <x:c r="J66" t="str">
        <x:f>IF(H66&gt;0,"Yes",IF(H66&lt;0,"No","Tie"))</x:f>
        <x:v>Yes</x:v>
      </x:c>
    </x:row>
    <x:row r="67">
      <x:c r="A67" t="str">
        <x:v>FreTS</x:v>
      </x:c>
      <x:c r="B67" t="str">
        <x:v>ETTh2</x:v>
      </x:c>
      <x:c r="C67" t="n">
        <x:v>192</x:v>
      </x:c>
      <x:c r="D67" t="str">
        <x:v>COSA-F</x:v>
      </x:c>
      <x:c r="E67" t="str">
        <x:v>Spectral</x:v>
      </x:c>
      <x:c r="F67" s="4" t="n">
        <x:v>0.22896744310855865</x:v>
      </x:c>
      <x:c r="G67" s="4" t="n">
        <x:v>0.23325051367282867</x:v>
      </x:c>
      <x:c r="H67" s="4" t="n">
        <x:f>IF(OR(F67="",G67=""),"",F67-G67)</x:f>
        <x:v>-0.0042830705642700195</x:v>
      </x:c>
      <x:c r="I67" s="5" t="n">
        <x:f>IFERROR(H67/F67,"")</x:f>
        <x:v>-0.018706024341807053</x:v>
      </x:c>
      <x:c r="J67" t="str">
        <x:f>IF(H67&gt;0,"Yes",IF(H67&lt;0,"No","Tie"))</x:f>
        <x:v>No</x:v>
      </x:c>
    </x:row>
    <x:row r="68">
      <x:c r="A68" t="str">
        <x:v>FreTS</x:v>
      </x:c>
      <x:c r="B68" t="str">
        <x:v>ETTh2</x:v>
      </x:c>
      <x:c r="C68" t="n">
        <x:v>336</x:v>
      </x:c>
      <x:c r="D68" t="str">
        <x:v>COSA-F</x:v>
      </x:c>
      <x:c r="E68" t="str">
        <x:v>Spectral</x:v>
      </x:c>
      <x:c r="F68" s="4" t="n">
        <x:v>0.2539190649986267</x:v>
      </x:c>
      <x:c r="G68" s="4" t="n">
        <x:v>0.25198595225811005</x:v>
      </x:c>
      <x:c r="H68" s="4" t="n">
        <x:f>IF(OR(F68="",G68=""),"",F68-G68)</x:f>
        <x:v>0.0019331127405166626</x:v>
      </x:c>
      <x:c r="I68" s="5" t="n">
        <x:f>IFERROR(H68/F68,"")</x:f>
        <x:v>0.007613105934078316</x:v>
      </x:c>
      <x:c r="J68" t="str">
        <x:f>IF(H68&gt;0,"Yes",IF(H68&lt;0,"No","Tie"))</x:f>
        <x:v>Yes</x:v>
      </x:c>
    </x:row>
    <x:row r="69">
      <x:c r="A69" t="str">
        <x:v>FreTS</x:v>
      </x:c>
      <x:c r="B69" t="str">
        <x:v>ETTh2</x:v>
      </x:c>
      <x:c r="C69" t="n">
        <x:v>720</x:v>
      </x:c>
      <x:c r="D69" t="str">
        <x:v>COSA-F</x:v>
      </x:c>
      <x:c r="E69" t="str">
        <x:v>Spectral</x:v>
      </x:c>
      <x:c r="F69" s="4" t="n">
        <x:v>0.2756490558385849</x:v>
      </x:c>
      <x:c r="G69" s="4" t="n">
        <x:v>0.27547670900821686</x:v>
      </x:c>
      <x:c r="H69" s="4" t="n">
        <x:f>IF(OR(F69="",G69=""),"",F69-G69)</x:f>
        <x:v>0.000172346830368042</x:v>
      </x:c>
      <x:c r="I69" s="5" t="n">
        <x:f>IFERROR(H69/F69,"")</x:f>
        <x:v>0.0006252400533124452</x:v>
      </x:c>
      <x:c r="J69" t="str">
        <x:f>IF(H69&gt;0,"Yes",IF(H69&lt;0,"No","Tie"))</x:f>
        <x:v>Yes</x:v>
      </x:c>
    </x:row>
    <x:row r="70">
      <x:c r="A70" t="str">
        <x:v>FreTS</x:v>
      </x:c>
      <x:c r="B70" t="str">
        <x:v>ETTm1</x:v>
      </x:c>
      <x:c r="C70" t="n">
        <x:v>96</x:v>
      </x:c>
      <x:c r="D70" t="str">
        <x:v>COSA-F</x:v>
      </x:c>
      <x:c r="E70" t="str">
        <x:v>Spectral</x:v>
      </x:c>
      <x:c r="F70" s="4" t="n">
        <x:v>0.3550616055727005</x:v>
      </x:c>
      <x:c r="G70" s="4" t="n">
        <x:v>0.3404066860675812</x:v>
      </x:c>
      <x:c r="H70" s="4" t="n">
        <x:f>IF(OR(F70="",G70=""),"",F70-G70)</x:f>
        <x:v>0.014654919505119324</x:v>
      </x:c>
      <x:c r="I70" s="5" t="n">
        <x:f>IFERROR(H70/F70,"")</x:f>
        <x:v>0.041274300783610524</x:v>
      </x:c>
      <x:c r="J70" t="str">
        <x:f>IF(H70&gt;0,"Yes",IF(H70&lt;0,"No","Tie"))</x:f>
        <x:v>Yes</x:v>
      </x:c>
    </x:row>
    <x:row r="71">
      <x:c r="A71" t="str">
        <x:v>FreTS</x:v>
      </x:c>
      <x:c r="B71" t="str">
        <x:v>ETTm1</x:v>
      </x:c>
      <x:c r="C71" t="n">
        <x:v>192</x:v>
      </x:c>
      <x:c r="D71" t="str">
        <x:v>COSA-F</x:v>
      </x:c>
      <x:c r="E71" t="str">
        <x:v>Spectral</x:v>
      </x:c>
      <x:c r="F71" s="4" t="n">
        <x:v>0.4245300143957138</x:v>
      </x:c>
      <x:c r="G71" s="4" t="n">
        <x:v>0.4058390110731125</x:v>
      </x:c>
      <x:c r="H71" s="4" t="n">
        <x:f>IF(OR(F71="",G71=""),"",F71-G71)</x:f>
        <x:v>0.01869100332260132</x:v>
      </x:c>
      <x:c r="I71" s="5" t="n">
        <x:f>IFERROR(H71/F71,"")</x:f>
        <x:v>0.0440275191124155</x:v>
      </x:c>
      <x:c r="J71" t="str">
        <x:f>IF(H71&gt;0,"Yes",IF(H71&lt;0,"No","Tie"))</x:f>
        <x:v>Yes</x:v>
      </x:c>
    </x:row>
    <x:row r="72">
      <x:c r="A72" t="str">
        <x:v>FreTS</x:v>
      </x:c>
      <x:c r="B72" t="str">
        <x:v>ETTm1</x:v>
      </x:c>
      <x:c r="C72" t="n">
        <x:v>336</x:v>
      </x:c>
      <x:c r="D72" t="str">
        <x:v>COSA-F</x:v>
      </x:c>
      <x:c r="E72" t="str">
        <x:v>Spectral</x:v>
      </x:c>
      <x:c r="F72" s="4" t="n">
        <x:v>0.4926287531852722</x:v>
      </x:c>
      <x:c r="G72" s="4" t="n">
        <x:v>0.45788806676864624</x:v>
      </x:c>
      <x:c r="H72" s="4" t="n">
        <x:f>IF(OR(F72="",G72=""),"",F72-G72)</x:f>
        <x:v>0.03474068641662598</x:v>
      </x:c>
      <x:c r="I72" s="5" t="n">
        <x:f>IFERROR(H72/F72,"")</x:f>
        <x:v>0.07052102864885028</x:v>
      </x:c>
      <x:c r="J72" t="str">
        <x:f>IF(H72&gt;0,"Yes",IF(H72&lt;0,"No","Tie"))</x:f>
        <x:v>Yes</x:v>
      </x:c>
    </x:row>
    <x:row r="73">
      <x:c r="A73" t="str">
        <x:v>FreTS</x:v>
      </x:c>
      <x:c r="B73" t="str">
        <x:v>ETTm1</x:v>
      </x:c>
      <x:c r="C73" t="n">
        <x:v>720</x:v>
      </x:c>
      <x:c r="D73" t="str">
        <x:v>COSA-F</x:v>
      </x:c>
      <x:c r="E73" t="str">
        <x:v>Spectral</x:v>
      </x:c>
      <x:c r="F73" s="4" t="n">
        <x:v>0.5312340557575226</x:v>
      </x:c>
      <x:c r="G73" s="4" t="n">
        <x:v>0.4606608897447586</x:v>
      </x:c>
      <x:c r="H73" s="4" t="n">
        <x:f>IF(OR(F73="",G73=""),"",F73-G73)</x:f>
        <x:v>0.07057316601276398</x:v>
      </x:c>
      <x:c r="I73" s="5" t="n">
        <x:f>IFERROR(H73/F73,"")</x:f>
        <x:v>0.13284759372613814</x:v>
      </x:c>
      <x:c r="J73" t="str">
        <x:f>IF(H73&gt;0,"Yes",IF(H73&lt;0,"No","Tie"))</x:f>
        <x:v>Yes</x:v>
      </x:c>
    </x:row>
    <x:row r="74">
      <x:c r="A74" t="str">
        <x:v>FreTS</x:v>
      </x:c>
      <x:c r="B74" t="str">
        <x:v>ETTm2</x:v>
      </x:c>
      <x:c r="C74" t="n">
        <x:v>96</x:v>
      </x:c>
      <x:c r="D74" t="str">
        <x:v>COSA-F</x:v>
      </x:c>
      <x:c r="E74" t="str">
        <x:v>Spectral</x:v>
      </x:c>
      <x:c r="F74" s="4" t="n">
        <x:v>0.1201893575489521</x:v>
      </x:c>
      <x:c r="G74" s="4" t="n">
        <x:v>0.11847829446196556</x:v>
      </x:c>
      <x:c r="H74" s="4" t="n">
        <x:f>IF(OR(F74="",G74=""),"",F74-G74)</x:f>
        <x:v>0.0017110630869865417</x:v>
      </x:c>
      <x:c r="I74" s="5" t="n">
        <x:f>IFERROR(H74/F74,"")</x:f>
        <x:v>0.014236394318770199</x:v>
      </x:c>
      <x:c r="J74" t="str">
        <x:f>IF(H74&gt;0,"Yes",IF(H74&lt;0,"No","Tie"))</x:f>
        <x:v>Yes</x:v>
      </x:c>
    </x:row>
    <x:row r="75">
      <x:c r="A75" t="str">
        <x:v>FreTS</x:v>
      </x:c>
      <x:c r="B75" t="str">
        <x:v>ETTm2</x:v>
      </x:c>
      <x:c r="C75" t="n">
        <x:v>192</x:v>
      </x:c>
      <x:c r="D75" t="str">
        <x:v>COSA-F</x:v>
      </x:c>
      <x:c r="E75" t="str">
        <x:v>Spectral</x:v>
      </x:c>
      <x:c r="F75" s="4" t="n">
        <x:v>0.1599169671535492</x:v>
      </x:c>
      <x:c r="G75" s="4" t="n">
        <x:v>0.15368111431598663</x:v>
      </x:c>
      <x:c r="H75" s="4" t="n">
        <x:f>IF(OR(F75="",G75=""),"",F75-G75)</x:f>
        <x:v>0.006235852837562561</x:v>
      </x:c>
      <x:c r="I75" s="5" t="n">
        <x:f>IFERROR(H75/F75,"")</x:f>
        <x:v>0.0389943165416276</x:v>
      </x:c>
      <x:c r="J75" t="str">
        <x:f>IF(H75&gt;0,"Yes",IF(H75&lt;0,"No","Tie"))</x:f>
        <x:v>Yes</x:v>
      </x:c>
    </x:row>
    <x:row r="76">
      <x:c r="A76" t="str">
        <x:v>FreTS</x:v>
      </x:c>
      <x:c r="B76" t="str">
        <x:v>ETTm2</x:v>
      </x:c>
      <x:c r="C76" t="n">
        <x:v>336</x:v>
      </x:c>
      <x:c r="D76" t="str">
        <x:v>COSA-F</x:v>
      </x:c>
      <x:c r="E76" t="str">
        <x:v>Spectral</x:v>
      </x:c>
      <x:c r="F76" s="4" t="n">
        <x:v>0.1917339488863945</x:v>
      </x:c>
      <x:c r="G76" s="4" t="n">
        <x:v>0.16560900211334229</x:v>
      </x:c>
      <x:c r="H76" s="4" t="n">
        <x:f>IF(OR(F76="",G76=""),"",F76-G76)</x:f>
        <x:v>0.026124946773052216</x:v>
      </x:c>
      <x:c r="I76" s="5" t="n">
        <x:f>IFERROR(H76/F76,"")</x:f>
        <x:v>0.13625623904784684</x:v>
      </x:c>
      <x:c r="J76" t="str">
        <x:f>IF(H76&gt;0,"Yes",IF(H76&lt;0,"No","Tie"))</x:f>
        <x:v>Yes</x:v>
      </x:c>
    </x:row>
    <x:row r="77">
      <x:c r="A77" t="str">
        <x:v>FreTS</x:v>
      </x:c>
      <x:c r="B77" t="str">
        <x:v>ETTm2</x:v>
      </x:c>
      <x:c r="C77" t="n">
        <x:v>720</x:v>
      </x:c>
      <x:c r="D77" t="str">
        <x:v>COSA-F</x:v>
      </x:c>
      <x:c r="E77" t="str">
        <x:v>Spectral</x:v>
      </x:c>
      <x:c r="F77" s="4" t="n">
        <x:v>0.21432758122682571</x:v>
      </x:c>
      <x:c r="G77" s="4" t="n">
        <x:v>0.18142680823802948</x:v>
      </x:c>
      <x:c r="H77" s="4" t="n">
        <x:f>IF(OR(F77="",G77=""),"",F77-G77)</x:f>
        <x:v>0.032900772988796234</x:v>
      </x:c>
      <x:c r="I77" s="5" t="n">
        <x:f>IFERROR(H77/F77,"")</x:f>
        <x:v>0.1535069485712943</x:v>
      </x:c>
      <x:c r="J77" t="str">
        <x:f>IF(H77&gt;0,"Yes",IF(H77&lt;0,"No","Tie"))</x:f>
        <x:v>Yes</x:v>
      </x:c>
    </x:row>
    <x:row r="78">
      <x:c r="A78" t="str">
        <x:v>FreTS</x:v>
      </x:c>
      <x:c r="B78" t="str">
        <x:v>Exchange Rate</x:v>
      </x:c>
      <x:c r="C78" t="n">
        <x:v>96</x:v>
      </x:c>
      <x:c r="D78" t="str">
        <x:v>COSA-F</x:v>
      </x:c>
      <x:c r="E78" t="str">
        <x:v>Spectral</x:v>
      </x:c>
      <x:c r="F78" s="4" t="n">
        <x:v>0.07924611121416092</x:v>
      </x:c>
      <x:c r="G78" s="4" t="n">
        <x:v>0.08038845658302307</x:v>
      </x:c>
      <x:c r="H78" s="4" t="n">
        <x:f>IF(OR(F78="",G78=""),"",F78-G78)</x:f>
        <x:v>-0.001142345368862152</x:v>
      </x:c>
      <x:c r="I78" s="5" t="n">
        <x:f>IFERROR(H78/F78,"")</x:f>
        <x:v>-0.014415159953716696</x:v>
      </x:c>
      <x:c r="J78" t="str">
        <x:f>IF(H78&gt;0,"Yes",IF(H78&lt;0,"No","Tie"))</x:f>
        <x:v>No</x:v>
      </x:c>
    </x:row>
    <x:row r="79">
      <x:c r="A79" t="str">
        <x:v>FreTS</x:v>
      </x:c>
      <x:c r="B79" t="str">
        <x:v>Exchange Rate</x:v>
      </x:c>
      <x:c r="C79" t="n">
        <x:v>192</x:v>
      </x:c>
      <x:c r="D79" t="str">
        <x:v>COSA-F</x:v>
      </x:c>
      <x:c r="E79" t="str">
        <x:v>Spectral</x:v>
      </x:c>
      <x:c r="F79" s="4" t="n">
        <x:v>0.1532968282699585</x:v>
      </x:c>
      <x:c r="G79" s="4" t="n">
        <x:v>0.14946843683719635</x:v>
      </x:c>
      <x:c r="H79" s="4" t="n">
        <x:f>IF(OR(F79="",G79=""),"",F79-G79)</x:f>
        <x:v>0.003828391432762146</x:v>
      </x:c>
      <x:c r="I79" s="5" t="n">
        <x:f>IFERROR(H79/F79,"")</x:f>
        <x:v>0.024973715868538904</x:v>
      </x:c>
      <x:c r="J79" t="str">
        <x:f>IF(H79&gt;0,"Yes",IF(H79&lt;0,"No","Tie"))</x:f>
        <x:v>Yes</x:v>
      </x:c>
    </x:row>
    <x:row r="80">
      <x:c r="A80" t="str">
        <x:v>FreTS</x:v>
      </x:c>
      <x:c r="B80" t="str">
        <x:v>Exchange Rate</x:v>
      </x:c>
      <x:c r="C80" t="n">
        <x:v>336</x:v>
      </x:c>
      <x:c r="D80" t="str">
        <x:v>COSA-F</x:v>
      </x:c>
      <x:c r="E80" t="str">
        <x:v>Spectral</x:v>
      </x:c>
      <x:c r="F80" s="4" t="n">
        <x:v>0.22275415807962418</x:v>
      </x:c>
      <x:c r="G80" s="4" t="n">
        <x:v>0.21382950246334076</x:v>
      </x:c>
      <x:c r="H80" s="4" t="n">
        <x:f>IF(OR(F80="",G80=""),"",F80-G80)</x:f>
        <x:v>0.008924655616283417</x:v>
      </x:c>
      <x:c r="I80" s="5" t="n">
        <x:f>IFERROR(H80/F80,"")</x:f>
        <x:v>0.040065046117313194</x:v>
      </x:c>
      <x:c r="J80" t="str">
        <x:f>IF(H80&gt;0,"Yes",IF(H80&lt;0,"No","Tie"))</x:f>
        <x:v>Yes</x:v>
      </x:c>
    </x:row>
    <x:row r="81">
      <x:c r="A81" t="str">
        <x:v>FreTS</x:v>
      </x:c>
      <x:c r="B81" t="str">
        <x:v>Exchange Rate</x:v>
      </x:c>
      <x:c r="C81" t="n">
        <x:v>720</x:v>
      </x:c>
      <x:c r="D81" t="str">
        <x:v>COSA-F</x:v>
      </x:c>
      <x:c r="E81" t="str">
        <x:v>Spectral</x:v>
      </x:c>
      <x:c r="F81" s="4" t="n">
        <x:v>0.3209460973739624</x:v>
      </x:c>
      <x:c r="G81" s="4" t="n">
        <x:v>0.32528071105480194</x:v>
      </x:c>
      <x:c r="H81" s="4" t="n">
        <x:f>IF(OR(F81="",G81=""),"",F81-G81)</x:f>
        <x:v>-0.004334613680839539</x:v>
      </x:c>
      <x:c r="I81" s="5" t="n">
        <x:f>IFERROR(H81/F81,"")</x:f>
        <x:v>-0.013505737306999875</x:v>
      </x:c>
      <x:c r="J81" t="str">
        <x:f>IF(H81&gt;0,"Yes",IF(H81&lt;0,"No","Tie"))</x:f>
        <x:v>No</x:v>
      </x:c>
    </x:row>
    <x:row r="82">
      <x:c r="A82" t="str">
        <x:v>FreTS</x:v>
      </x:c>
      <x:c r="B82" t="str">
        <x:v>weather</x:v>
      </x:c>
      <x:c r="C82" t="n">
        <x:v>96</x:v>
      </x:c>
      <x:c r="D82" t="str">
        <x:v>COSA-F</x:v>
      </x:c>
      <x:c r="E82" t="str">
        <x:v>Spectral</x:v>
      </x:c>
      <x:c r="F82" s="4" t="n">
        <x:v>0.17968664318323135</x:v>
      </x:c>
      <x:c r="G82" s="4" t="n">
        <x:v>0.1766328364610672</x:v>
      </x:c>
      <x:c r="H82" s="4" t="n">
        <x:f>IF(OR(F82="",G82=""),"",F82-G82)</x:f>
        <x:v>0.003053806722164154</x:v>
      </x:c>
      <x:c r="I82" s="5" t="n">
        <x:f>IFERROR(H82/F82,"")</x:f>
        <x:v>0.016995179319200172</x:v>
      </x:c>
      <x:c r="J82" t="str">
        <x:f>IF(H82&gt;0,"Yes",IF(H82&lt;0,"No","Tie"))</x:f>
        <x:v>Yes</x:v>
      </x:c>
    </x:row>
    <x:row r="83">
      <x:c r="A83" t="str">
        <x:v>FreTS</x:v>
      </x:c>
      <x:c r="B83" t="str">
        <x:v>weather</x:v>
      </x:c>
      <x:c r="C83" t="n">
        <x:v>192</x:v>
      </x:c>
      <x:c r="D83" t="str">
        <x:v>COSA-F</x:v>
      </x:c>
      <x:c r="E83" t="str">
        <x:v>Spectral</x:v>
      </x:c>
      <x:c r="F83" s="4" t="n">
        <x:v>0.23667710274457932</x:v>
      </x:c>
      <x:c r="G83" s="4" t="n">
        <x:v>0.21836638450622559</x:v>
      </x:c>
      <x:c r="H83" s="4" t="n">
        <x:f>IF(OR(F83="",G83=""),"",F83-G83)</x:f>
        <x:v>0.01831071823835373</x:v>
      </x:c>
      <x:c r="I83" s="5" t="n">
        <x:f>IFERROR(H83/F83,"")</x:f>
        <x:v>0.07736582046178991</x:v>
      </x:c>
      <x:c r="J83" t="str">
        <x:f>IF(H83&gt;0,"Yes",IF(H83&lt;0,"No","Tie"))</x:f>
        <x:v>Yes</x:v>
      </x:c>
    </x:row>
    <x:row r="84">
      <x:c r="A84" t="str">
        <x:v>FreTS</x:v>
      </x:c>
      <x:c r="B84" t="str">
        <x:v>weather</x:v>
      </x:c>
      <x:c r="C84" t="n">
        <x:v>336</x:v>
      </x:c>
      <x:c r="D84" t="str">
        <x:v>COSA-F</x:v>
      </x:c>
      <x:c r="E84" t="str">
        <x:v>Spectral</x:v>
      </x:c>
      <x:c r="F84" s="4" t="n">
        <x:v>0.3008144646883011</x:v>
      </x:c>
      <x:c r="G84" s="4" t="n">
        <x:v>0.2382035031914711</x:v>
      </x:c>
      <x:c r="H84" s="4" t="n">
        <x:f>IF(OR(F84="",G84=""),"",F84-G84)</x:f>
        <x:v>0.06261096149682999</x:v>
      </x:c>
      <x:c r="I84" s="5" t="n">
        <x:f>IFERROR(H84/F84,"")</x:f>
        <x:v>0.20813813445342935</x:v>
      </x:c>
      <x:c r="J84" t="str">
        <x:f>IF(H84&gt;0,"Yes",IF(H84&lt;0,"No","Tie"))</x:f>
        <x:v>Yes</x:v>
      </x:c>
    </x:row>
    <x:row r="85">
      <x:c r="A85" t="str">
        <x:v>FreTS</x:v>
      </x:c>
      <x:c r="B85" t="str">
        <x:v>weather</x:v>
      </x:c>
      <x:c r="C85" t="n">
        <x:v>720</x:v>
      </x:c>
      <x:c r="D85" t="str">
        <x:v>COSA-F</x:v>
      </x:c>
      <x:c r="E85" t="str">
        <x:v>Spectral</x:v>
      </x:c>
      <x:c r="F85" s="4" t="n">
        <x:v>0.3307296931743622</x:v>
      </x:c>
      <x:c r="G85" s="4" t="n">
        <x:v>0.22467390447854996</x:v>
      </x:c>
      <x:c r="H85" s="4" t="n">
        <x:f>IF(OR(F85="",G85=""),"",F85-G85)</x:f>
        <x:v>0.10605578869581223</x:v>
      </x:c>
      <x:c r="I85" s="5" t="n">
        <x:f>IFERROR(H85/F85,"")</x:f>
        <x:v>0.3206721104412573</x:v>
      </x:c>
      <x:c r="J85" t="str">
        <x:f>IF(H85&gt;0,"Yes",IF(H85&lt;0,"No","Tie"))</x:f>
        <x:v>Yes</x:v>
      </x:c>
    </x:row>
    <x:row r="86">
      <x:c r="A86" t="str">
        <x:v>FreTS</x:v>
      </x:c>
      <x:c r="B86" t="str">
        <x:v>electricity</x:v>
      </x:c>
      <x:c r="C86" t="n">
        <x:v>96</x:v>
      </x:c>
      <x:c r="D86" t="str">
        <x:v>COSA-F</x:v>
      </x:c>
      <x:c r="E86" t="str">
        <x:v>Spectral</x:v>
      </x:c>
      <x:c r="F86" s="4" t="n">
        <x:v>0.18776048719882965</x:v>
      </x:c>
      <x:c r="G86" s="4" t="n">
        <x:v>0.18788261711597443</x:v>
      </x:c>
      <x:c r="H86" s="4" t="n">
        <x:f>IF(OR(F86="",G86=""),"",F86-G86)</x:f>
        <x:v>-0.0001221299171447754</x:v>
      </x:c>
      <x:c r="I86" s="5" t="n">
        <x:f>IFERROR(H86/F86,"")</x:f>
        <x:v>-0.0006504559024468523</x:v>
      </x:c>
      <x:c r="J86" t="str">
        <x:f>IF(H86&gt;0,"Yes",IF(H86&lt;0,"No","Tie"))</x:f>
        <x:v>No</x:v>
      </x:c>
    </x:row>
    <x:row r="87">
      <x:c r="A87" t="str">
        <x:v>FreTS</x:v>
      </x:c>
      <x:c r="B87" t="str">
        <x:v>electricity</x:v>
      </x:c>
      <x:c r="C87" t="n">
        <x:v>192</x:v>
      </x:c>
      <x:c r="D87" t="str">
        <x:v>COSA-F</x:v>
      </x:c>
      <x:c r="E87" t="str">
        <x:v>Spectral</x:v>
      </x:c>
      <x:c r="F87" s="4" t="n">
        <x:v>0.19057977696259817</x:v>
      </x:c>
      <x:c r="G87" s="4" t="n">
        <x:v>0.18856987853844961</x:v>
      </x:c>
      <x:c r="H87" s="4" t="n">
        <x:f>IF(OR(F87="",G87=""),"",F87-G87)</x:f>
        <x:v>0.0020098984241485596</x:v>
      </x:c>
      <x:c r="I87" s="5" t="n">
        <x:f>IFERROR(H87/F87,"")</x:f>
        <x:v>0.010546231379749216</x:v>
      </x:c>
      <x:c r="J87" t="str">
        <x:f>IF(H87&gt;0,"Yes",IF(H87&lt;0,"No","Tie"))</x:f>
        <x:v>Yes</x:v>
      </x:c>
    </x:row>
    <x:row r="88">
      <x:c r="A88" t="str">
        <x:v>FreTS</x:v>
      </x:c>
      <x:c r="B88" t="str">
        <x:v>electricity</x:v>
      </x:c>
      <x:c r="C88" t="n">
        <x:v>336</x:v>
      </x:c>
      <x:c r="D88" t="str">
        <x:v>COSA-F</x:v>
      </x:c>
      <x:c r="E88" t="str">
        <x:v>Spectral</x:v>
      </x:c>
      <x:c r="F88" s="4" t="n">
        <x:v>0.20153055091698965</x:v>
      </x:c>
      <x:c r="G88" s="4" t="n">
        <x:v>0.19837614397207895</x:v>
      </x:c>
      <x:c r="H88" s="4" t="n">
        <x:f>IF(OR(F88="",G88=""),"",F88-G88)</x:f>
        <x:v>0.0031544069449107037</x:v>
      </x:c>
      <x:c r="I88" s="5" t="n">
        <x:f>IFERROR(H88/F88,"")</x:f>
        <x:v>0.01565225188219727</x:v>
      </x:c>
      <x:c r="J88" t="str">
        <x:f>IF(H88&gt;0,"Yes",IF(H88&lt;0,"No","Tie"))</x:f>
        <x:v>Yes</x:v>
      </x:c>
    </x:row>
    <x:row r="89">
      <x:c r="A89" t="str">
        <x:v>FreTS</x:v>
      </x:c>
      <x:c r="B89" t="str">
        <x:v>electricity</x:v>
      </x:c>
      <x:c r="C89" t="n">
        <x:v>720</x:v>
      </x:c>
      <x:c r="D89" t="str">
        <x:v>COSA-F</x:v>
      </x:c>
      <x:c r="E89" t="str">
        <x:v>Spectral</x:v>
      </x:c>
      <x:c r="F89" s="4" t="n">
        <x:v>0.23076996207237244</x:v>
      </x:c>
      <x:c r="G89" s="4" t="n">
        <x:v>0.21156437695026398</x:v>
      </x:c>
      <x:c r="H89" s="4" t="n">
        <x:f>IF(OR(F89="",G89=""),"",F89-G89)</x:f>
        <x:v>0.01920558512210846</x:v>
      </x:c>
      <x:c r="I89" s="5" t="n">
        <x:f>IFERROR(H89/F89,"")</x:f>
        <x:v>0.08322393846078348</x:v>
      </x:c>
      <x:c r="J89" t="str">
        <x:f>IF(H89&gt;0,"Yes",IF(H89&lt;0,"No","Tie"))</x:f>
        <x:v>Yes</x:v>
      </x:c>
    </x:row>
    <x:row r="90">
      <x:c r="A90" t="str">
        <x:v>PatchTST</x:v>
      </x:c>
      <x:c r="B90" t="str">
        <x:v>ETTh1</x:v>
      </x:c>
      <x:c r="C90" t="n">
        <x:v>96</x:v>
      </x:c>
      <x:c r="D90" t="str">
        <x:v>COSA-F</x:v>
      </x:c>
      <x:c r="E90" t="str">
        <x:v>Spectral</x:v>
      </x:c>
      <x:c r="F90" s="4" t="n">
        <x:v>0.4215563138326009</x:v>
      </x:c>
      <x:c r="G90" s="4" t="n">
        <x:v>0.4093315005302429</x:v>
      </x:c>
      <x:c r="H90" s="4" t="n">
        <x:f>IF(OR(F90="",G90=""),"",F90-G90)</x:f>
        <x:v>0.012224813302357973</x:v>
      </x:c>
      <x:c r="I90" s="5" t="n">
        <x:f>IFERROR(H90/F90,"")</x:f>
        <x:v>0.028999241385369027</x:v>
      </x:c>
      <x:c r="J90" t="str">
        <x:f>IF(H90&gt;0,"Yes",IF(H90&lt;0,"No","Tie"))</x:f>
        <x:v>Yes</x:v>
      </x:c>
    </x:row>
    <x:row r="91">
      <x:c r="A91" t="str">
        <x:v>PatchTST</x:v>
      </x:c>
      <x:c r="B91" t="str">
        <x:v>ETTh1</x:v>
      </x:c>
      <x:c r="C91" t="n">
        <x:v>192</x:v>
      </x:c>
      <x:c r="D91" t="str">
        <x:v>COSA-F</x:v>
      </x:c>
      <x:c r="E91" t="str">
        <x:v>Spectral</x:v>
      </x:c>
      <x:c r="F91" s="4" t="n">
        <x:v>0.4862701694170634</x:v>
      </x:c>
      <x:c r="G91" s="4" t="n">
        <x:v>0.4727175732453664</x:v>
      </x:c>
      <x:c r="H91" s="4" t="n">
        <x:f>IF(OR(F91="",G91=""),"",F91-G91)</x:f>
        <x:v>0.013552596171697018</x:v>
      </x:c>
      <x:c r="I91" s="5" t="n">
        <x:f>IFERROR(H91/F91,"")</x:f>
        <x:v>0.027870507022760116</x:v>
      </x:c>
      <x:c r="J91" t="str">
        <x:f>IF(H91&gt;0,"Yes",IF(H91&lt;0,"No","Tie"))</x:f>
        <x:v>Yes</x:v>
      </x:c>
    </x:row>
    <x:row r="92">
      <x:c r="A92" t="str">
        <x:v>PatchTST</x:v>
      </x:c>
      <x:c r="B92" t="str">
        <x:v>ETTh1</x:v>
      </x:c>
      <x:c r="C92" t="n">
        <x:v>336</x:v>
      </x:c>
      <x:c r="D92" t="str">
        <x:v>COSA-F</x:v>
      </x:c>
      <x:c r="E92" t="str">
        <x:v>Spectral</x:v>
      </x:c>
      <x:c r="F92" s="4" t="n">
        <x:v>0.5593735774358114</x:v>
      </x:c>
      <x:c r="G92" s="4" t="n">
        <x:v>0.5285506049791971</x:v>
      </x:c>
      <x:c r="H92" s="4" t="n">
        <x:f>IF(OR(F92="",G92=""),"",F92-G92)</x:f>
        <x:v>0.03082297245661425</x:v>
      </x:c>
      <x:c r="I92" s="5" t="n">
        <x:f>IFERROR(H92/F92,"")</x:f>
        <x:v>0.05510266072614274</x:v>
      </x:c>
      <x:c r="J92" t="str">
        <x:f>IF(H92&gt;0,"Yes",IF(H92&lt;0,"No","Tie"))</x:f>
        <x:v>Yes</x:v>
      </x:c>
    </x:row>
    <x:row r="93">
      <x:c r="A93" t="str">
        <x:v>PatchTST</x:v>
      </x:c>
      <x:c r="B93" t="str">
        <x:v>ETTh1</x:v>
      </x:c>
      <x:c r="C93" t="n">
        <x:v>720</x:v>
      </x:c>
      <x:c r="D93" t="str">
        <x:v>COSA-F</x:v>
      </x:c>
      <x:c r="E93" t="str">
        <x:v>Spectral</x:v>
      </x:c>
      <x:c r="F93" s="4" t="n">
        <x:v>0.6667301654815674</x:v>
      </x:c>
      <x:c r="G93" s="4" t="n">
        <x:v>0.5952693422635397</x:v>
      </x:c>
      <x:c r="H93" s="4" t="n">
        <x:f>IF(OR(F93="",G93=""),"",F93-G93)</x:f>
        <x:v>0.07146082321802771</x:v>
      </x:c>
      <x:c r="I93" s="5" t="n">
        <x:f>IFERROR(H93/F93,"")</x:f>
        <x:v>0.10718102602484295</x:v>
      </x:c>
      <x:c r="J93" t="str">
        <x:f>IF(H93&gt;0,"Yes",IF(H93&lt;0,"No","Tie"))</x:f>
        <x:v>Yes</x:v>
      </x:c>
    </x:row>
    <x:row r="94">
      <x:c r="A94" t="str">
        <x:v>PatchTST</x:v>
      </x:c>
      <x:c r="B94" t="str">
        <x:v>ETTh2</x:v>
      </x:c>
      <x:c r="C94" t="n">
        <x:v>96</x:v>
      </x:c>
      <x:c r="D94" t="str">
        <x:v>COSA-F</x:v>
      </x:c>
      <x:c r="E94" t="str">
        <x:v>Spectral</x:v>
      </x:c>
      <x:c r="F94" s="4" t="n">
        <x:v>0.18864086270332336</x:v>
      </x:c>
      <x:c r="G94" s="4" t="n">
        <x:v>0.18730342388153076</x:v>
      </x:c>
      <x:c r="H94" s="4" t="n">
        <x:f>IF(OR(F94="",G94=""),"",F94-G94)</x:f>
        <x:v>0.0013374388217926025</x:v>
      </x:c>
      <x:c r="I94" s="5" t="n">
        <x:f>IFERROR(H94/F94,"")</x:f>
        <x:v>0.007089868030851835</x:v>
      </x:c>
      <x:c r="J94" t="str">
        <x:f>IF(H94&gt;0,"Yes",IF(H94&lt;0,"No","Tie"))</x:f>
        <x:v>Yes</x:v>
      </x:c>
    </x:row>
    <x:row r="95">
      <x:c r="A95" t="str">
        <x:v>PatchTST</x:v>
      </x:c>
      <x:c r="B95" t="str">
        <x:v>ETTh2</x:v>
      </x:c>
      <x:c r="C95" t="n">
        <x:v>192</x:v>
      </x:c>
      <x:c r="D95" t="str">
        <x:v>COSA-F</x:v>
      </x:c>
      <x:c r="E95" t="str">
        <x:v>Spectral</x:v>
      </x:c>
      <x:c r="F95" s="4" t="n">
        <x:v>0.23486915727456412</x:v>
      </x:c>
      <x:c r="G95" s="4" t="n">
        <x:v>0.23807235062122345</x:v>
      </x:c>
      <x:c r="H95" s="4" t="n">
        <x:f>IF(OR(F95="",G95=""),"",F95-G95)</x:f>
        <x:v>-0.003203193346659333</x:v>
      </x:c>
      <x:c r="I95" s="5" t="n">
        <x:f>IFERROR(H95/F95,"")</x:f>
        <x:v>-0.013638203431346125</x:v>
      </x:c>
      <x:c r="J95" t="str">
        <x:f>IF(H95&gt;0,"Yes",IF(H95&lt;0,"No","Tie"))</x:f>
        <x:v>No</x:v>
      </x:c>
    </x:row>
    <x:row r="96">
      <x:c r="A96" t="str">
        <x:v>PatchTST</x:v>
      </x:c>
      <x:c r="B96" t="str">
        <x:v>ETTh2</x:v>
      </x:c>
      <x:c r="C96" t="n">
        <x:v>336</x:v>
      </x:c>
      <x:c r="D96" t="str">
        <x:v>COSA-F</x:v>
      </x:c>
      <x:c r="E96" t="str">
        <x:v>Spectral</x:v>
      </x:c>
      <x:c r="F96" s="4" t="n">
        <x:v>0.25714191297690075</x:v>
      </x:c>
      <x:c r="G96" s="4" t="n">
        <x:v>0.2528233875830968</x:v>
      </x:c>
      <x:c r="H96" s="4" t="n">
        <x:f>IF(OR(F96="",G96=""),"",F96-G96)</x:f>
        <x:v>0.004318525393803951</x:v>
      </x:c>
      <x:c r="I96" s="5" t="n">
        <x:f>IFERROR(H96/F96,"")</x:f>
        <x:v>0.016794327085028288</x:v>
      </x:c>
      <x:c r="J96" t="str">
        <x:f>IF(H96&gt;0,"Yes",IF(H96&lt;0,"No","Tie"))</x:f>
        <x:v>Yes</x:v>
      </x:c>
    </x:row>
    <x:row r="97">
      <x:c r="A97" t="str">
        <x:v>PatchTST</x:v>
      </x:c>
      <x:c r="B97" t="str">
        <x:v>ETTh2</x:v>
      </x:c>
      <x:c r="C97" t="n">
        <x:v>720</x:v>
      </x:c>
      <x:c r="D97" t="str">
        <x:v>COSA-F</x:v>
      </x:c>
      <x:c r="E97" t="str">
        <x:v>Spectral</x:v>
      </x:c>
      <x:c r="F97" s="4" t="n">
        <x:v>0.2861035267512004</x:v>
      </x:c>
      <x:c r="G97" s="4" t="n">
        <x:v>0.2822403808434804</x:v>
      </x:c>
      <x:c r="H97" s="4" t="n">
        <x:f>IF(OR(F97="",G97=""),"",F97-G97)</x:f>
        <x:v>0.003863145907719967</x:v>
      </x:c>
      <x:c r="I97" s="5" t="n">
        <x:f>IFERROR(H97/F97,"")</x:f>
        <x:v>0.013502615474850167</x:v>
      </x:c>
      <x:c r="J97" t="str">
        <x:f>IF(H97&gt;0,"Yes",IF(H97&lt;0,"No","Tie"))</x:f>
        <x:v>Yes</x:v>
      </x:c>
    </x:row>
    <x:row r="98">
      <x:c r="A98" t="str">
        <x:v>PatchTST</x:v>
      </x:c>
      <x:c r="B98" t="str">
        <x:v>ETTm1</x:v>
      </x:c>
      <x:c r="C98" t="n">
        <x:v>96</x:v>
      </x:c>
      <x:c r="D98" t="str">
        <x:v>COSA-F</x:v>
      </x:c>
      <x:c r="E98" t="str">
        <x:v>Spectral</x:v>
      </x:c>
      <x:c r="F98" s="4" t="n">
        <x:v>0.3684692084789276</x:v>
      </x:c>
      <x:c r="G98" s="4" t="n">
        <x:v>0.3566473027070363</x:v>
      </x:c>
      <x:c r="H98" s="4" t="n">
        <x:f>IF(OR(F98="",G98=""),"",F98-G98)</x:f>
        <x:v>0.011821905771891295</x:v>
      </x:c>
      <x:c r="I98" s="5" t="n">
        <x:f>IFERROR(H98/F98,"")</x:f>
        <x:v>0.032083836314825684</x:v>
      </x:c>
      <x:c r="J98" t="str">
        <x:f>IF(H98&gt;0,"Yes",IF(H98&lt;0,"No","Tie"))</x:f>
        <x:v>Yes</x:v>
      </x:c>
    </x:row>
    <x:row r="99">
      <x:c r="A99" t="str">
        <x:v>PatchTST</x:v>
      </x:c>
      <x:c r="B99" t="str">
        <x:v>ETTm1</x:v>
      </x:c>
      <x:c r="C99" t="n">
        <x:v>192</x:v>
      </x:c>
      <x:c r="D99" t="str">
        <x:v>COSA-F</x:v>
      </x:c>
      <x:c r="E99" t="str">
        <x:v>Spectral</x:v>
      </x:c>
      <x:c r="F99" s="4" t="n">
        <x:v>0.43228967984517414</x:v>
      </x:c>
      <x:c r="G99" s="4" t="n">
        <x:v>0.4113490382830302</x:v>
      </x:c>
      <x:c r="H99" s="4" t="n">
        <x:f>IF(OR(F99="",G99=""),"",F99-G99)</x:f>
        <x:v>0.020940641562143925</x:v>
      </x:c>
      <x:c r="I99" s="5" t="n">
        <x:f>IFERROR(H99/F99,"")</x:f>
        <x:v>0.048441224804727886</x:v>
      </x:c>
      <x:c r="J99" t="str">
        <x:f>IF(H99&gt;0,"Yes",IF(H99&lt;0,"No","Tie"))</x:f>
        <x:v>Yes</x:v>
      </x:c>
    </x:row>
    <x:row r="100">
      <x:c r="A100" t="str">
        <x:v>PatchTST</x:v>
      </x:c>
      <x:c r="B100" t="str">
        <x:v>ETTm1</x:v>
      </x:c>
      <x:c r="C100" t="n">
        <x:v>336</x:v>
      </x:c>
      <x:c r="D100" t="str">
        <x:v>COSA-F</x:v>
      </x:c>
      <x:c r="E100" t="str">
        <x:v>Spectral</x:v>
      </x:c>
      <x:c r="F100" s="4" t="n">
        <x:v>0.49682679772377014</x:v>
      </x:c>
      <x:c r="G100" s="4" t="n">
        <x:v>0.4641507565975189</x:v>
      </x:c>
      <x:c r="H100" s="4" t="n">
        <x:f>IF(OR(F100="",G100=""),"",F100-G100)</x:f>
        <x:v>0.03267604112625122</x:v>
      </x:c>
      <x:c r="I100" s="5" t="n">
        <x:f>IFERROR(H100/F100,"")</x:f>
        <x:v>0.06576948199243213</x:v>
      </x:c>
      <x:c r="J100" t="str">
        <x:f>IF(H100&gt;0,"Yes",IF(H100&lt;0,"No","Tie"))</x:f>
        <x:v>Yes</x:v>
      </x:c>
    </x:row>
    <x:row r="101">
      <x:c r="A101" t="str">
        <x:v>PatchTST</x:v>
      </x:c>
      <x:c r="B101" t="str">
        <x:v>ETTm1</x:v>
      </x:c>
      <x:c r="C101" t="n">
        <x:v>720</x:v>
      </x:c>
      <x:c r="D101" t="str">
        <x:v>COSA-F</x:v>
      </x:c>
      <x:c r="E101" t="str">
        <x:v>Spectral</x:v>
      </x:c>
      <x:c r="F101" s="4" t="n">
        <x:v>0.5308690667152405</x:v>
      </x:c>
      <x:c r="G101" s="4" t="n">
        <x:v>0.46276913086573285</x:v>
      </x:c>
      <x:c r="H101" s="4" t="n">
        <x:f>IF(OR(F101="",G101=""),"",F101-G101)</x:f>
        <x:v>0.06809993584950763</x:v>
      </x:c>
      <x:c r="I101" s="5" t="n">
        <x:f>IFERROR(H101/F101,"")</x:f>
        <x:v>0.12828009789848352</x:v>
      </x:c>
      <x:c r="J101" t="str">
        <x:f>IF(H101&gt;0,"Yes",IF(H101&lt;0,"No","Tie"))</x:f>
        <x:v>Yes</x:v>
      </x:c>
    </x:row>
    <x:row r="102">
      <x:c r="A102" t="str">
        <x:v>PatchTST</x:v>
      </x:c>
      <x:c r="B102" t="str">
        <x:v>ETTm2</x:v>
      </x:c>
      <x:c r="C102" t="n">
        <x:v>96</x:v>
      </x:c>
      <x:c r="D102" t="str">
        <x:v>COSA-F</x:v>
      </x:c>
      <x:c r="E102" t="str">
        <x:v>Spectral</x:v>
      </x:c>
      <x:c r="F102" s="4" t="n">
        <x:v>0.12111697594324748</x:v>
      </x:c>
      <x:c r="G102" s="4" t="n">
        <x:v>0.12053919086853664</x:v>
      </x:c>
      <x:c r="H102" s="4" t="n">
        <x:f>IF(OR(F102="",G102=""),"",F102-G102)</x:f>
        <x:v>0.000577785074710846</x:v>
      </x:c>
      <x:c r="I102" s="5" t="n">
        <x:f>IFERROR(H102/F102,"")</x:f>
        <x:v>0.004770471440614421</x:v>
      </x:c>
      <x:c r="J102" t="str">
        <x:f>IF(H102&gt;0,"Yes",IF(H102&lt;0,"No","Tie"))</x:f>
        <x:v>Yes</x:v>
      </x:c>
    </x:row>
    <x:row r="103">
      <x:c r="A103" t="str">
        <x:v>PatchTST</x:v>
      </x:c>
      <x:c r="B103" t="str">
        <x:v>ETTm2</x:v>
      </x:c>
      <x:c r="C103" t="n">
        <x:v>192</x:v>
      </x:c>
      <x:c r="D103" t="str">
        <x:v>COSA-F</x:v>
      </x:c>
      <x:c r="E103" t="str">
        <x:v>Spectral</x:v>
      </x:c>
      <x:c r="F103" s="4" t="n">
        <x:v>0.16730952759583792</x:v>
      </x:c>
      <x:c r="G103" s="4" t="n">
        <x:v>0.16304603715737662</x:v>
      </x:c>
      <x:c r="H103" s="4" t="n">
        <x:f>IF(OR(F103="",G103=""),"",F103-G103)</x:f>
        <x:v>0.004263490438461304</x:v>
      </x:c>
      <x:c r="I103" s="5" t="n">
        <x:f>IFERROR(H103/F103,"")</x:f>
        <x:v>0.025482651823394212</x:v>
      </x:c>
      <x:c r="J103" t="str">
        <x:f>IF(H103&gt;0,"Yes",IF(H103&lt;0,"No","Tie"))</x:f>
        <x:v>Yes</x:v>
      </x:c>
    </x:row>
    <x:row r="104">
      <x:c r="A104" t="str">
        <x:v>PatchTST</x:v>
      </x:c>
      <x:c r="B104" t="str">
        <x:v>ETTm2</x:v>
      </x:c>
      <x:c r="C104" t="n">
        <x:v>336</x:v>
      </x:c>
      <x:c r="D104" t="str">
        <x:v>COSA-F</x:v>
      </x:c>
      <x:c r="E104" t="str">
        <x:v>Spectral</x:v>
      </x:c>
      <x:c r="F104" s="4" t="n">
        <x:v>0.19834870100021362</x:v>
      </x:c>
      <x:c r="G104" s="4" t="n">
        <x:v>0.1698567420244217</x:v>
      </x:c>
      <x:c r="H104" s="4" t="n">
        <x:f>IF(OR(F104="",G104=""),"",F104-G104)</x:f>
        <x:v>0.02849195897579193</x:v>
      </x:c>
      <x:c r="I104" s="5" t="n">
        <x:f>IFERROR(H104/F104,"")</x:f>
        <x:v>0.14364580575579997</x:v>
      </x:c>
      <x:c r="J104" t="str">
        <x:f>IF(H104&gt;0,"Yes",IF(H104&lt;0,"No","Tie"))</x:f>
        <x:v>Yes</x:v>
      </x:c>
    </x:row>
    <x:row r="105">
      <x:c r="A105" t="str">
        <x:v>PatchTST</x:v>
      </x:c>
      <x:c r="B105" t="str">
        <x:v>ETTm2</x:v>
      </x:c>
      <x:c r="C105" t="n">
        <x:v>720</x:v>
      </x:c>
      <x:c r="D105" t="str">
        <x:v>COSA-F</x:v>
      </x:c>
      <x:c r="E105" t="str">
        <x:v>Spectral</x:v>
      </x:c>
      <x:c r="F105" s="4" t="n">
        <x:v>0.22203551729520163</x:v>
      </x:c>
      <x:c r="G105" s="4" t="n">
        <x:v>0.1822761446237564</x:v>
      </x:c>
      <x:c r="H105" s="4" t="n">
        <x:f>IF(OR(F105="",G105=""),"",F105-G105)</x:f>
        <x:v>0.03975937267144522</x:v>
      </x:c>
      <x:c r="I105" s="5" t="n">
        <x:f>IFERROR(H105/F105,"")</x:f>
        <x:v>0.17906762465657314</x:v>
      </x:c>
      <x:c r="J105" t="str">
        <x:f>IF(H105&gt;0,"Yes",IF(H105&lt;0,"No","Tie"))</x:f>
        <x:v>Yes</x:v>
      </x:c>
    </x:row>
    <x:row r="106">
      <x:c r="A106" t="str">
        <x:v>PatchTST</x:v>
      </x:c>
      <x:c r="B106" t="str">
        <x:v>Exchange Rate</x:v>
      </x:c>
      <x:c r="C106" t="n">
        <x:v>96</x:v>
      </x:c>
      <x:c r="D106" t="str">
        <x:v>COSA-F</x:v>
      </x:c>
      <x:c r="E106" t="str">
        <x:v>Spectral</x:v>
      </x:c>
      <x:c r="F106" s="4" t="n">
        <x:v>0.08002660671869914</x:v>
      </x:c>
      <x:c r="G106" s="4" t="n">
        <x:v>0.08166203151146571</x:v>
      </x:c>
      <x:c r="H106" s="4" t="n">
        <x:f>IF(OR(F106="",G106=""),"",F106-G106)</x:f>
        <x:v>-0.001635424792766571</x:v>
      </x:c>
      <x:c r="I106" s="5" t="n">
        <x:f>IFERROR(H106/F106,"")</x:f>
        <x:v>-0.020436013218894048</x:v>
      </x:c>
      <x:c r="J106" t="str">
        <x:f>IF(H106&gt;0,"Yes",IF(H106&lt;0,"No","Tie"))</x:f>
        <x:v>No</x:v>
      </x:c>
    </x:row>
    <x:row r="107">
      <x:c r="A107" t="str">
        <x:v>PatchTST</x:v>
      </x:c>
      <x:c r="B107" t="str">
        <x:v>Exchange Rate</x:v>
      </x:c>
      <x:c r="C107" t="n">
        <x:v>192</x:v>
      </x:c>
      <x:c r="D107" t="str">
        <x:v>COSA-F</x:v>
      </x:c>
      <x:c r="E107" t="str">
        <x:v>Spectral</x:v>
      </x:c>
      <x:c r="F107" s="4" t="n">
        <x:v>0.1569869170586268</x:v>
      </x:c>
      <x:c r="G107" s="4" t="n">
        <x:v>0.15143700937430063</x:v>
      </x:c>
      <x:c r="H107" s="4" t="n">
        <x:f>IF(OR(F107="",G107=""),"",F107-G107)</x:f>
        <x:v>0.005549907684326172</x:v>
      </x:c>
      <x:c r="I107" s="5" t="n">
        <x:f>IFERROR(H107/F107,"")</x:f>
        <x:v>0.03535267644152511</x:v>
      </x:c>
      <x:c r="J107" t="str">
        <x:f>IF(H107&gt;0,"Yes",IF(H107&lt;0,"No","Tie"))</x:f>
        <x:v>Yes</x:v>
      </x:c>
    </x:row>
    <x:row r="108">
      <x:c r="A108" t="str">
        <x:v>PatchTST</x:v>
      </x:c>
      <x:c r="B108" t="str">
        <x:v>Exchange Rate</x:v>
      </x:c>
      <x:c r="C108" t="n">
        <x:v>336</x:v>
      </x:c>
      <x:c r="D108" t="str">
        <x:v>COSA-F</x:v>
      </x:c>
      <x:c r="E108" t="str">
        <x:v>Spectral</x:v>
      </x:c>
      <x:c r="F108" s="4" t="n">
        <x:v>0.2557789087295532</x:v>
      </x:c>
      <x:c r="G108" s="4" t="n">
        <x:v>0.2376514325539271</x:v>
      </x:c>
      <x:c r="H108" s="4" t="n">
        <x:f>IF(OR(F108="",G108=""),"",F108-G108)</x:f>
        <x:v>0.018127476175626128</x:v>
      </x:c>
      <x:c r="I108" s="5" t="n">
        <x:f>IFERROR(H108/F108,"")</x:f>
        <x:v>0.07087166125488924</x:v>
      </x:c>
      <x:c r="J108" t="str">
        <x:f>IF(H108&gt;0,"Yes",IF(H108&lt;0,"No","Tie"))</x:f>
        <x:v>Yes</x:v>
      </x:c>
    </x:row>
    <x:row r="109">
      <x:c r="A109" t="str">
        <x:v>PatchTST</x:v>
      </x:c>
      <x:c r="B109" t="str">
        <x:v>Exchange Rate</x:v>
      </x:c>
      <x:c r="C109" t="n">
        <x:v>720</x:v>
      </x:c>
      <x:c r="D109" t="str">
        <x:v>COSA-F</x:v>
      </x:c>
      <x:c r="E109" t="str">
        <x:v>Spectral</x:v>
      </x:c>
      <x:c r="F109" s="4" t="n">
        <x:v>0.34203078349431354</x:v>
      </x:c>
      <x:c r="G109" s="4" t="n">
        <x:v>0.3424577514330546</x:v>
      </x:c>
      <x:c r="H109" s="4" t="n">
        <x:f>IF(OR(F109="",G109=""),"",F109-G109)</x:f>
        <x:v>-0.0004269679387410852</x:v>
      </x:c>
      <x:c r="I109" s="5" t="n">
        <x:f>IFERROR(H109/F109,"")</x:f>
        <x:v>-0.0012483319026989972</x:v>
      </x:c>
      <x:c r="J109" t="str">
        <x:f>IF(H109&gt;0,"Yes",IF(H109&lt;0,"No","Tie"))</x:f>
        <x:v>No</x:v>
      </x:c>
    </x:row>
    <x:row r="110">
      <x:c r="A110" t="str">
        <x:v>PatchTST</x:v>
      </x:c>
      <x:c r="B110" t="str">
        <x:v>weather</x:v>
      </x:c>
      <x:c r="C110" t="n">
        <x:v>96</x:v>
      </x:c>
      <x:c r="D110" t="str">
        <x:v>COSA-F</x:v>
      </x:c>
      <x:c r="E110" t="str">
        <x:v>Spectral</x:v>
      </x:c>
      <x:c r="F110" s="4" t="n">
        <x:v>0.16996556520462036</x:v>
      </x:c>
      <x:c r="G110" s="4" t="n">
        <x:v>0.17009247342745462</x:v>
      </x:c>
      <x:c r="H110" s="4" t="n">
        <x:f>IF(OR(F110="",G110=""),"",F110-G110)</x:f>
        <x:v>-0.00012690822283425995</x:v>
      </x:c>
      <x:c r="I110" s="5" t="n">
        <x:f>IFERROR(H110/F110,"")</x:f>
        <x:v>-0.000746670201587457</x:v>
      </x:c>
      <x:c r="J110" t="str">
        <x:f>IF(H110&gt;0,"Yes",IF(H110&lt;0,"No","Tie"))</x:f>
        <x:v>No</x:v>
      </x:c>
    </x:row>
    <x:row r="111">
      <x:c r="A111" t="str">
        <x:v>PatchTST</x:v>
      </x:c>
      <x:c r="B111" t="str">
        <x:v>weather</x:v>
      </x:c>
      <x:c r="C111" t="n">
        <x:v>192</x:v>
      </x:c>
      <x:c r="D111" t="str">
        <x:v>COSA-F</x:v>
      </x:c>
      <x:c r="E111" t="str">
        <x:v>Spectral</x:v>
      </x:c>
      <x:c r="F111" s="4" t="n">
        <x:v>0.22353105743726095</x:v>
      </x:c>
      <x:c r="G111" s="4" t="n">
        <x:v>0.21427654723326364</x:v>
      </x:c>
      <x:c r="H111" s="4" t="n">
        <x:f>IF(OR(F111="",G111=""),"",F111-G111)</x:f>
        <x:v>0.009254510203997313</x:v>
      </x:c>
      <x:c r="I111" s="5" t="n">
        <x:f>IFERROR(H111/F111,"")</x:f>
        <x:v>0.04140145136921208</x:v>
      </x:c>
      <x:c r="J111" t="str">
        <x:f>IF(H111&gt;0,"Yes",IF(H111&lt;0,"No","Tie"))</x:f>
        <x:v>Yes</x:v>
      </x:c>
    </x:row>
    <x:row r="112">
      <x:c r="A112" t="str">
        <x:v>PatchTST</x:v>
      </x:c>
      <x:c r="B112" t="str">
        <x:v>weather</x:v>
      </x:c>
      <x:c r="C112" t="n">
        <x:v>336</x:v>
      </x:c>
      <x:c r="D112" t="str">
        <x:v>COSA-F</x:v>
      </x:c>
      <x:c r="E112" t="str">
        <x:v>Spectral</x:v>
      </x:c>
      <x:c r="F112" s="4" t="n">
        <x:v>0.29285919666290283</x:v>
      </x:c>
      <x:c r="G112" s="4" t="n">
        <x:v>0.23618756234645844</x:v>
      </x:c>
      <x:c r="H112" s="4" t="n">
        <x:f>IF(OR(F112="",G112=""),"",F112-G112)</x:f>
        <x:v>0.0566716343164444</x:v>
      </x:c>
      <x:c r="I112" s="5" t="n">
        <x:f>IFERROR(H112/F112,"")</x:f>
        <x:v>0.19351154057038744</x:v>
      </x:c>
      <x:c r="J112" t="str">
        <x:f>IF(H112&gt;0,"Yes",IF(H112&lt;0,"No","Tie"))</x:f>
        <x:v>Yes</x:v>
      </x:c>
    </x:row>
    <x:row r="113">
      <x:c r="A113" t="str">
        <x:v>PatchTST</x:v>
      </x:c>
      <x:c r="B113" t="str">
        <x:v>weather</x:v>
      </x:c>
      <x:c r="C113" t="n">
        <x:v>720</x:v>
      </x:c>
      <x:c r="D113" t="str">
        <x:v>COSA-F</x:v>
      </x:c>
      <x:c r="E113" t="str">
        <x:v>Spectral</x:v>
      </x:c>
      <x:c r="F113" s="4" t="n">
        <x:v>0.3360040485858917</x:v>
      </x:c>
      <x:c r="G113" s="4" t="n">
        <x:v>0.22727694610754648</x:v>
      </x:c>
      <x:c r="H113" s="4" t="n">
        <x:f>IF(OR(F113="",G113=""),"",F113-G113)</x:f>
        <x:v>0.10872710247834524</x:v>
      </x:c>
      <x:c r="I113" s="5" t="n">
        <x:f>IFERROR(H113/F113,"")</x:f>
        <x:v>0.3235886678625887</x:v>
      </x:c>
      <x:c r="J113" t="str">
        <x:f>IF(H113&gt;0,"Yes",IF(H113&lt;0,"No","Tie"))</x:f>
        <x:v>Yes</x:v>
      </x:c>
    </x:row>
    <x:row r="114">
      <x:c r="A114" t="str">
        <x:v>OLS</x:v>
      </x:c>
      <x:c r="B114" t="str">
        <x:v>ETTh1</x:v>
      </x:c>
      <x:c r="C114" t="n">
        <x:v>96</x:v>
      </x:c>
      <x:c r="D114" t="str">
        <x:v>COSA-F</x:v>
      </x:c>
      <x:c r="E114" t="str">
        <x:v>Spectral</x:v>
      </x:c>
      <x:c r="F114" s="4" t="n">
        <x:v>0.4344470798969269</x:v>
      </x:c>
      <x:c r="G114" s="4" t="n">
        <x:v>0.4217393894990285</x:v>
      </x:c>
      <x:c r="H114" s="4" t="n">
        <x:f>IF(OR(F114="",G114=""),"",F114-G114)</x:f>
        <x:v>0.012707690397898375</x:v>
      </x:c>
      <x:c r="I114" s="5" t="n">
        <x:f>IFERROR(H114/F114,"")</x:f>
        <x:v>0.029250260816376737</x:v>
      </x:c>
      <x:c r="J114" t="str">
        <x:f>IF(H114&gt;0,"Yes",IF(H114&lt;0,"No","Tie"))</x:f>
        <x:v>Yes</x:v>
      </x:c>
    </x:row>
    <x:row r="115">
      <x:c r="A115" t="str">
        <x:v>OLS</x:v>
      </x:c>
      <x:c r="B115" t="str">
        <x:v>ETTh1</x:v>
      </x:c>
      <x:c r="C115" t="n">
        <x:v>192</x:v>
      </x:c>
      <x:c r="D115" t="str">
        <x:v>COSA-F</x:v>
      </x:c>
      <x:c r="E115" t="str">
        <x:v>Spectral</x:v>
      </x:c>
      <x:c r="F115" s="4" t="n">
        <x:v>0.49989547332127887</x:v>
      </x:c>
      <x:c r="G115" s="4" t="n">
        <x:v>0.49457697073618573</x:v>
      </x:c>
      <x:c r="H115" s="4" t="n">
        <x:f>IF(OR(F115="",G115=""),"",F115-G115)</x:f>
        <x:v>0.005318502585093143</x:v>
      </x:c>
      <x:c r="I115" s="5" t="n">
        <x:f>IFERROR(H115/F115,"")</x:f>
        <x:v>0.010639229336799743</x:v>
      </x:c>
      <x:c r="J115" t="str">
        <x:f>IF(H115&gt;0,"Yes",IF(H115&lt;0,"No","Tie"))</x:f>
        <x:v>Yes</x:v>
      </x:c>
    </x:row>
    <x:row r="116">
      <x:c r="A116" t="str">
        <x:v>OLS</x:v>
      </x:c>
      <x:c r="B116" t="str">
        <x:v>ETTh1</x:v>
      </x:c>
      <x:c r="C116" t="n">
        <x:v>336</x:v>
      </x:c>
      <x:c r="D116" t="str">
        <x:v>COSA-F</x:v>
      </x:c>
      <x:c r="E116" t="str">
        <x:v>Spectral</x:v>
      </x:c>
      <x:c r="F116" s="4" t="n">
        <x:v>0.5567370851834615</x:v>
      </x:c>
      <x:c r="G116" s="4" t="n">
        <x:v>0.5425710280736288</x:v>
      </x:c>
      <x:c r="H116" s="4" t="n">
        <x:f>IF(OR(F116="",G116=""),"",F116-G116)</x:f>
        <x:v>0.014166057109832764</x:v>
      </x:c>
      <x:c r="I116" s="5" t="n">
        <x:f>IFERROR(H116/F116,"")</x:f>
        <x:v>0.02544478801006156</x:v>
      </x:c>
      <x:c r="J116" t="str">
        <x:f>IF(H116&gt;0,"Yes",IF(H116&lt;0,"No","Tie"))</x:f>
        <x:v>Yes</x:v>
      </x:c>
    </x:row>
    <x:row r="117">
      <x:c r="A117" t="str">
        <x:v>OLS</x:v>
      </x:c>
      <x:c r="B117" t="str">
        <x:v>ETTh1</x:v>
      </x:c>
      <x:c r="C117" t="n">
        <x:v>720</x:v>
      </x:c>
      <x:c r="D117" t="str">
        <x:v>COSA-F</x:v>
      </x:c>
      <x:c r="E117" t="str">
        <x:v>Spectral</x:v>
      </x:c>
      <x:c r="F117" s="4" t="n">
        <x:v>0.6455339392026266</x:v>
      </x:c>
      <x:c r="G117" s="4" t="n">
        <x:v>0.5759905974070231</x:v>
      </x:c>
      <x:c r="H117" s="4" t="n">
        <x:f>IF(OR(F117="",G117=""),"",F117-G117)</x:f>
        <x:v>0.06954334179560351</x:v>
      </x:c>
      <x:c r="I117" s="5" t="n">
        <x:f>IFERROR(H117/F117,"")</x:f>
        <x:v>0.10772995434059518</x:v>
      </x:c>
      <x:c r="J117" t="str">
        <x:f>IF(H117&gt;0,"Yes",IF(H117&lt;0,"No","Tie"))</x:f>
        <x:v>Yes</x:v>
      </x:c>
    </x:row>
    <x:row r="118">
      <x:c r="A118" t="str">
        <x:v>OLS</x:v>
      </x:c>
      <x:c r="B118" t="str">
        <x:v>ETTh2</x:v>
      </x:c>
      <x:c r="C118" t="n">
        <x:v>96</x:v>
      </x:c>
      <x:c r="D118" t="str">
        <x:v>COSA-F</x:v>
      </x:c>
      <x:c r="E118" t="str">
        <x:v>Spectral</x:v>
      </x:c>
      <x:c r="F118" s="4" t="n">
        <x:v>0.1797500898440679</x:v>
      </x:c>
      <x:c r="G118" s="4" t="n">
        <x:v>0.1771706442038218</x:v>
      </x:c>
      <x:c r="H118" s="4" t="n">
        <x:f>IF(OR(F118="",G118=""),"",F118-G118)</x:f>
        <x:v>0.002579445640246092</x:v>
      </x:c>
      <x:c r="I118" s="5" t="n">
        <x:f>IFERROR(H118/F118,"")</x:f>
        <x:v>0.014350177195926551</x:v>
      </x:c>
      <x:c r="J118" t="str">
        <x:f>IF(H118&gt;0,"Yes",IF(H118&lt;0,"No","Tie"))</x:f>
        <x:v>Yes</x:v>
      </x:c>
    </x:row>
    <x:row r="119">
      <x:c r="A119" t="str">
        <x:v>OLS</x:v>
      </x:c>
      <x:c r="B119" t="str">
        <x:v>ETTh2</x:v>
      </x:c>
      <x:c r="C119" t="n">
        <x:v>192</x:v>
      </x:c>
      <x:c r="D119" t="str">
        <x:v>COSA-F</x:v>
      </x:c>
      <x:c r="E119" t="str">
        <x:v>Spectral</x:v>
      </x:c>
      <x:c r="F119" s="4" t="n">
        <x:v>0.22823808093865713</x:v>
      </x:c>
      <x:c r="G119" s="4" t="n">
        <x:v>0.22788567344347635</x:v>
      </x:c>
      <x:c r="H119" s="4" t="n">
        <x:f>IF(OR(F119="",G119=""),"",F119-G119)</x:f>
        <x:v>0.0003524074951807843</x:v>
      </x:c>
      <x:c r="I119" s="5" t="n">
        <x:f>IFERROR(H119/F119,"")</x:f>
        <x:v>0.0015440346051433013</x:v>
      </x:c>
      <x:c r="J119" t="str">
        <x:f>IF(H119&gt;0,"Yes",IF(H119&lt;0,"No","Tie"))</x:f>
        <x:v>Yes</x:v>
      </x:c>
    </x:row>
    <x:row r="120">
      <x:c r="A120" t="str">
        <x:v>OLS</x:v>
      </x:c>
      <x:c r="B120" t="str">
        <x:v>ETTh2</x:v>
      </x:c>
      <x:c r="C120" t="n">
        <x:v>336</x:v>
      </x:c>
      <x:c r="D120" t="str">
        <x:v>COSA-F</x:v>
      </x:c>
      <x:c r="E120" t="str">
        <x:v>Spectral</x:v>
      </x:c>
      <x:c r="F120" s="4" t="n">
        <x:v>0.25011977056662243</x:v>
      </x:c>
      <x:c r="G120" s="4" t="n">
        <x:v>0.24707179268201193</x:v>
      </x:c>
      <x:c r="H120" s="4" t="n">
        <x:f>IF(OR(F120="",G120=""),"",F120-G120)</x:f>
        <x:v>0.0030479778846105032</x:v>
      </x:c>
      <x:c r="I120" s="5" t="n">
        <x:f>IFERROR(H120/F120,"")</x:f>
        <x:v>0.012186073406774686</x:v>
      </x:c>
      <x:c r="J120" t="str">
        <x:f>IF(H120&gt;0,"Yes",IF(H120&lt;0,"No","Tie"))</x:f>
        <x:v>Yes</x:v>
      </x:c>
    </x:row>
    <x:row r="121">
      <x:c r="A121" t="str">
        <x:v>OLS</x:v>
      </x:c>
      <x:c r="B121" t="str">
        <x:v>ETTh2</x:v>
      </x:c>
      <x:c r="C121" t="n">
        <x:v>720</x:v>
      </x:c>
      <x:c r="D121" t="str">
        <x:v>COSA-F</x:v>
      </x:c>
      <x:c r="E121" t="str">
        <x:v>Spectral</x:v>
      </x:c>
      <x:c r="F121" s="4" t="n">
        <x:v>0.2768460710843404</x:v>
      </x:c>
      <x:c r="G121" s="4" t="n">
        <x:v>0.2765376369158427</x:v>
      </x:c>
      <x:c r="H121" s="4" t="n">
        <x:f>IF(OR(F121="",G121=""),"",F121-G121)</x:f>
        <x:v>0.00030843416849768435</x:v>
      </x:c>
      <x:c r="I121" s="5" t="n">
        <x:f>IFERROR(H121/F121,"")</x:f>
        <x:v>0.001114099858053325</x:v>
      </x:c>
      <x:c r="J121" t="str">
        <x:f>IF(H121&gt;0,"Yes",IF(H121&lt;0,"No","Tie"))</x:f>
        <x:v>Yes</x:v>
      </x:c>
    </x:row>
    <x:row r="122">
      <x:c r="A122" t="str">
        <x:v>OLS</x:v>
      </x:c>
      <x:c r="B122" t="str">
        <x:v>ETTm1</x:v>
      </x:c>
      <x:c r="C122" t="n">
        <x:v>96</x:v>
      </x:c>
      <x:c r="D122" t="str">
        <x:v>COSA-F</x:v>
      </x:c>
      <x:c r="E122" t="str">
        <x:v>Spectral</x:v>
      </x:c>
      <x:c r="F122" s="4" t="n">
        <x:v>0.3495773871739705</x:v>
      </x:c>
      <x:c r="G122" s="4" t="n">
        <x:v>0.33347979187965393</x:v>
      </x:c>
      <x:c r="H122" s="4" t="n">
        <x:f>IF(OR(F122="",G122=""),"",F122-G122)</x:f>
        <x:v>0.01609759529431659</x:v>
      </x:c>
      <x:c r="I122" s="5" t="n">
        <x:f>IFERROR(H122/F122,"")</x:f>
        <x:v>0.04604873165410287</x:v>
      </x:c>
      <x:c r="J122" t="str">
        <x:f>IF(H122&gt;0,"Yes",IF(H122&lt;0,"No","Tie"))</x:f>
        <x:v>Yes</x:v>
      </x:c>
    </x:row>
    <x:row r="123">
      <x:c r="A123" t="str">
        <x:v>OLS</x:v>
      </x:c>
      <x:c r="B123" t="str">
        <x:v>ETTm1</x:v>
      </x:c>
      <x:c r="C123" t="n">
        <x:v>192</x:v>
      </x:c>
      <x:c r="D123" t="str">
        <x:v>COSA-F</x:v>
      </x:c>
      <x:c r="E123" t="str">
        <x:v>Spectral</x:v>
      </x:c>
      <x:c r="F123" s="4" t="n">
        <x:v>0.4258988897005717</x:v>
      </x:c>
      <x:c r="G123" s="4" t="n">
        <x:v>0.39847827951113385</x:v>
      </x:c>
      <x:c r="H123" s="4" t="n">
        <x:f>IF(OR(F123="",G123=""),"",F123-G123)</x:f>
        <x:v>0.027420610189437866</x:v>
      </x:c>
      <x:c r="I123" s="5" t="n">
        <x:f>IFERROR(H123/F123,"")</x:f>
        <x:v>0.0643829107155361</x:v>
      </x:c>
      <x:c r="J123" t="str">
        <x:f>IF(H123&gt;0,"Yes",IF(H123&lt;0,"No","Tie"))</x:f>
        <x:v>Yes</x:v>
      </x:c>
    </x:row>
    <x:row r="124">
      <x:c r="A124" t="str">
        <x:v>OLS</x:v>
      </x:c>
      <x:c r="B124" t="str">
        <x:v>ETTm1</x:v>
      </x:c>
      <x:c r="C124" t="n">
        <x:v>336</x:v>
      </x:c>
      <x:c r="D124" t="str">
        <x:v>COSA-F</x:v>
      </x:c>
      <x:c r="E124" t="str">
        <x:v>Spectral</x:v>
      </x:c>
      <x:c r="F124" s="4" t="n">
        <x:v>0.5017567276954651</x:v>
      </x:c>
      <x:c r="G124" s="4" t="n">
        <x:v>0.45406317710876465</x:v>
      </x:c>
      <x:c r="H124" s="4" t="n">
        <x:f>IF(OR(F124="",G124=""),"",F124-G124)</x:f>
        <x:v>0.04769355058670044</x:v>
      </x:c>
      <x:c r="I124" s="5" t="n">
        <x:f>IFERROR(H124/F124,"")</x:f>
        <x:v>0.09505313621952556</x:v>
      </x:c>
      <x:c r="J124" t="str">
        <x:f>IF(H124&gt;0,"Yes",IF(H124&lt;0,"No","Tie"))</x:f>
        <x:v>Yes</x:v>
      </x:c>
    </x:row>
    <x:row r="125">
      <x:c r="A125" t="str">
        <x:v>OLS</x:v>
      </x:c>
      <x:c r="B125" t="str">
        <x:v>ETTm1</x:v>
      </x:c>
      <x:c r="C125" t="n">
        <x:v>720</x:v>
      </x:c>
      <x:c r="D125" t="str">
        <x:v>COSA-F</x:v>
      </x:c>
      <x:c r="E125" t="str">
        <x:v>Spectral</x:v>
      </x:c>
      <x:c r="F125" s="4" t="n">
        <x:v>0.542260984579722</x:v>
      </x:c>
      <x:c r="G125" s="4" t="n">
        <x:v>0.46500633160273236</x:v>
      </x:c>
      <x:c r="H125" s="4" t="n">
        <x:f>IF(OR(F125="",G125=""),"",F125-G125)</x:f>
        <x:v>0.07725465297698969</x:v>
      </x:c>
      <x:c r="I125" s="5" t="n">
        <x:f>IFERROR(H125/F125,"")</x:f>
        <x:v>0.1424676588836014</x:v>
      </x:c>
      <x:c r="J125" t="str">
        <x:f>IF(H125&gt;0,"Yes",IF(H125&lt;0,"No","Tie"))</x:f>
        <x:v>Yes</x:v>
      </x:c>
    </x:row>
    <x:row r="126">
      <x:c r="A126" t="str">
        <x:v>OLS</x:v>
      </x:c>
      <x:c r="B126" t="str">
        <x:v>ETTm2</x:v>
      </x:c>
      <x:c r="C126" t="n">
        <x:v>96</x:v>
      </x:c>
      <x:c r="D126" t="str">
        <x:v>COSA-F</x:v>
      </x:c>
      <x:c r="E126" t="str">
        <x:v>Spectral</x:v>
      </x:c>
      <x:c r="F126" s="4" t="n">
        <x:v>0.12283460299173991</x:v>
      </x:c>
      <x:c r="G126" s="4" t="n">
        <x:v>0.1176209698120753</x:v>
      </x:c>
      <x:c r="H126" s="4" t="n">
        <x:f>IF(OR(F126="",G126=""),"",F126-G126)</x:f>
        <x:v>0.005213633179664612</x:v>
      </x:c>
      <x:c r="I126" s="5" t="n">
        <x:f>IFERROR(H126/F126,"")</x:f>
        <x:v>0.04244433614537107</x:v>
      </x:c>
      <x:c r="J126" t="str">
        <x:f>IF(H126&gt;0,"Yes",IF(H126&lt;0,"No","Tie"))</x:f>
        <x:v>Yes</x:v>
      </x:c>
    </x:row>
    <x:row r="127">
      <x:c r="A127" t="str">
        <x:v>OLS</x:v>
      </x:c>
      <x:c r="B127" t="str">
        <x:v>ETTm2</x:v>
      </x:c>
      <x:c r="C127" t="n">
        <x:v>192</x:v>
      </x:c>
      <x:c r="D127" t="str">
        <x:v>COSA-F</x:v>
      </x:c>
      <x:c r="E127" t="str">
        <x:v>Spectral</x:v>
      </x:c>
      <x:c r="F127" s="4" t="n">
        <x:v>0.16389205058415732</x:v>
      </x:c>
      <x:c r="G127" s="4" t="n">
        <x:v>0.15545007586479187</x:v>
      </x:c>
      <x:c r="H127" s="4" t="n">
        <x:f>IF(OR(F127="",G127=""),"",F127-G127)</x:f>
        <x:v>0.008441974719365447</x:v>
      </x:c>
      <x:c r="I127" s="5" t="n">
        <x:f>IFERROR(H127/F127,"")</x:f>
        <x:v>0.05150936051672962</x:v>
      </x:c>
      <x:c r="J127" t="str">
        <x:f>IF(H127&gt;0,"Yes",IF(H127&lt;0,"No","Tie"))</x:f>
        <x:v>Yes</x:v>
      </x:c>
    </x:row>
    <x:row r="128">
      <x:c r="A128" t="str">
        <x:v>OLS</x:v>
      </x:c>
      <x:c r="B128" t="str">
        <x:v>ETTm2</x:v>
      </x:c>
      <x:c r="C128" t="n">
        <x:v>336</x:v>
      </x:c>
      <x:c r="D128" t="str">
        <x:v>COSA-F</x:v>
      </x:c>
      <x:c r="E128" t="str">
        <x:v>Spectral</x:v>
      </x:c>
      <x:c r="F128" s="4" t="n">
        <x:v>0.190484419465065</x:v>
      </x:c>
      <x:c r="G128" s="4" t="n">
        <x:v>0.16509732604026794</x:v>
      </x:c>
      <x:c r="H128" s="4" t="n">
        <x:f>IF(OR(F128="",G128=""),"",F128-G128)</x:f>
        <x:v>0.025387093424797058</x:v>
      </x:c>
      <x:c r="I128" s="5" t="n">
        <x:f>IFERROR(H128/F128,"")</x:f>
        <x:v>0.13327648264404676</x:v>
      </x:c>
      <x:c r="J128" t="str">
        <x:f>IF(H128&gt;0,"Yes",IF(H128&lt;0,"No","Tie"))</x:f>
        <x:v>Yes</x:v>
      </x:c>
    </x:row>
    <x:row r="129">
      <x:c r="A129" t="str">
        <x:v>OLS</x:v>
      </x:c>
      <x:c r="B129" t="str">
        <x:v>ETTm2</x:v>
      </x:c>
      <x:c r="C129" t="n">
        <x:v>720</x:v>
      </x:c>
      <x:c r="D129" t="str">
        <x:v>COSA-F</x:v>
      </x:c>
      <x:c r="E129" t="str">
        <x:v>Spectral</x:v>
      </x:c>
      <x:c r="F129" s="4" t="n">
        <x:v>0.22198081016540527</x:v>
      </x:c>
      <x:c r="G129" s="4" t="n">
        <x:v>0.17214034994443259</x:v>
      </x:c>
      <x:c r="H129" s="4" t="n">
        <x:f>IF(OR(F129="",G129=""),"",F129-G129)</x:f>
        <x:v>0.04984046022097269</x:v>
      </x:c>
      <x:c r="I129" s="5" t="n">
        <x:f>IFERROR(H129/F129,"")</x:f>
        <x:v>0.2245259857545114</x:v>
      </x:c>
      <x:c r="J129" t="str">
        <x:f>IF(H129&gt;0,"Yes",IF(H129&lt;0,"No","Tie"))</x:f>
        <x:v>Yes</x:v>
      </x:c>
    </x:row>
    <x:row r="130">
      <x:c r="A130" t="str">
        <x:v>OLS</x:v>
      </x:c>
      <x:c r="B130" t="str">
        <x:v>Exchange Rate</x:v>
      </x:c>
      <x:c r="C130" t="n">
        <x:v>96</x:v>
      </x:c>
      <x:c r="D130" t="str">
        <x:v>COSA-F</x:v>
      </x:c>
      <x:c r="E130" t="str">
        <x:v>Spectral</x:v>
      </x:c>
      <x:c r="F130" s="4" t="n">
        <x:v>0.07885446151097615</x:v>
      </x:c>
      <x:c r="G130" s="4" t="n">
        <x:v>0.07900888472795486</x:v>
      </x:c>
      <x:c r="H130" s="4" t="n">
        <x:f>IF(OR(F130="",G130=""),"",F130-G130)</x:f>
        <x:v>-0.00015442321697871353</x:v>
      </x:c>
      <x:c r="I130" s="5" t="n">
        <x:f>IFERROR(H130/F130,"")</x:f>
        <x:v>-0.0019583320210387663</x:v>
      </x:c>
      <x:c r="J130" t="str">
        <x:f>IF(H130&gt;0,"Yes",IF(H130&lt;0,"No","Tie"))</x:f>
        <x:v>No</x:v>
      </x:c>
    </x:row>
    <x:row r="131">
      <x:c r="A131" t="str">
        <x:v>OLS</x:v>
      </x:c>
      <x:c r="B131" t="str">
        <x:v>Exchange Rate</x:v>
      </x:c>
      <x:c r="C131" t="n">
        <x:v>192</x:v>
      </x:c>
      <x:c r="D131" t="str">
        <x:v>COSA-F</x:v>
      </x:c>
      <x:c r="E131" t="str">
        <x:v>Spectral</x:v>
      </x:c>
      <x:c r="F131" s="4" t="n">
        <x:v>0.15232479572296143</x:v>
      </x:c>
      <x:c r="G131" s="4" t="n">
        <x:v>0.14753136038780212</x:v>
      </x:c>
      <x:c r="H131" s="4" t="n">
        <x:f>IF(OR(F131="",G131=""),"",F131-G131)</x:f>
        <x:v>0.004793435335159302</x:v>
      </x:c>
      <x:c r="I131" s="5" t="n">
        <x:f>IFERROR(H131/F131,"")</x:f>
        <x:v>0.031468516418543535</x:v>
      </x:c>
      <x:c r="J131" t="str">
        <x:f>IF(H131&gt;0,"Yes",IF(H131&lt;0,"No","Tie"))</x:f>
        <x:v>Yes</x:v>
      </x:c>
    </x:row>
    <x:row r="132">
      <x:c r="A132" t="str">
        <x:v>OLS</x:v>
      </x:c>
      <x:c r="B132" t="str">
        <x:v>Exchange Rate</x:v>
      </x:c>
      <x:c r="C132" t="n">
        <x:v>336</x:v>
      </x:c>
      <x:c r="D132" t="str">
        <x:v>COSA-F</x:v>
      </x:c>
      <x:c r="E132" t="str">
        <x:v>Spectral</x:v>
      </x:c>
      <x:c r="F132" s="4" t="n">
        <x:v>0.21848771472771963</x:v>
      </x:c>
      <x:c r="G132" s="4" t="n">
        <x:v>0.2117681751648585</x:v>
      </x:c>
      <x:c r="H132" s="4" t="n">
        <x:f>IF(OR(F132="",G132=""),"",F132-G132)</x:f>
        <x:v>0.006719539562861143</x:v>
      </x:c>
      <x:c r="I132" s="5" t="n">
        <x:f>IFERROR(H132/F132,"")</x:f>
        <x:v>0.030754770680058892</x:v>
      </x:c>
      <x:c r="J132" t="str">
        <x:f>IF(H132&gt;0,"Yes",IF(H132&lt;0,"No","Tie"))</x:f>
        <x:v>Yes</x:v>
      </x:c>
    </x:row>
    <x:row r="133">
      <x:c r="A133" t="str">
        <x:v>OLS</x:v>
      </x:c>
      <x:c r="B133" t="str">
        <x:v>Exchange Rate</x:v>
      </x:c>
      <x:c r="C133" t="n">
        <x:v>720</x:v>
      </x:c>
      <x:c r="D133" t="str">
        <x:v>COSA-F</x:v>
      </x:c>
      <x:c r="E133" t="str">
        <x:v>Spectral</x:v>
      </x:c>
      <x:c r="F133" s="4" t="n">
        <x:v>0.32598111033439636</x:v>
      </x:c>
      <x:c r="G133" s="4" t="n">
        <x:v>0.32824990153312683</x:v>
      </x:c>
      <x:c r="H133" s="4" t="n">
        <x:f>IF(OR(F133="",G133=""),"",F133-G133)</x:f>
        <x:v>-0.0022687911987304688</x:v>
      </x:c>
      <x:c r="I133" s="5" t="n">
        <x:f>IFERROR(H133/F133,"")</x:f>
        <x:v>-0.0069598854866256155</x:v>
      </x:c>
      <x:c r="J133" t="str">
        <x:f>IF(H133&gt;0,"Yes",IF(H133&lt;0,"No","Tie"))</x:f>
        <x:v>No</x:v>
      </x:c>
    </x:row>
    <x:row r="134">
      <x:c r="A134" t="str">
        <x:v>OLS</x:v>
      </x:c>
      <x:c r="B134" t="str">
        <x:v>weather</x:v>
      </x:c>
      <x:c r="C134" t="n">
        <x:v>96</x:v>
      </x:c>
      <x:c r="D134" t="str">
        <x:v>COSA-F</x:v>
      </x:c>
      <x:c r="E134" t="str">
        <x:v>Spectral</x:v>
      </x:c>
      <x:c r="F134" s="4" t="n">
        <x:v>0.1883797546227773</x:v>
      </x:c>
      <x:c r="G134" s="4" t="n">
        <x:v>0.1843416541814804</x:v>
      </x:c>
      <x:c r="H134" s="4" t="n">
        <x:f>IF(OR(F134="",G134=""),"",F134-G134)</x:f>
        <x:v>0.004038100441296905</x:v>
      </x:c>
      <x:c r="I134" s="5" t="n">
        <x:f>IFERROR(H134/F134,"")</x:f>
        <x:v>0.021435957645146286</x:v>
      </x:c>
      <x:c r="J134" t="str">
        <x:f>IF(H134&gt;0,"Yes",IF(H134&lt;0,"No","Tie"))</x:f>
        <x:v>Yes</x:v>
      </x:c>
    </x:row>
    <x:row r="135">
      <x:c r="A135" t="str">
        <x:v>OLS</x:v>
      </x:c>
      <x:c r="B135" t="str">
        <x:v>weather</x:v>
      </x:c>
      <x:c r="C135" t="n">
        <x:v>192</x:v>
      </x:c>
      <x:c r="D135" t="str">
        <x:v>COSA-F</x:v>
      </x:c>
      <x:c r="E135" t="str">
        <x:v>Spectral</x:v>
      </x:c>
      <x:c r="F135" s="4" t="n">
        <x:v>0.24258825679620108</x:v>
      </x:c>
      <x:c r="G135" s="4" t="n">
        <x:v>0.2260005921125412</x:v>
      </x:c>
      <x:c r="H135" s="4" t="n">
        <x:f>IF(OR(F135="",G135=""),"",F135-G135)</x:f>
        <x:v>0.01658766468365988</x:v>
      </x:c>
      <x:c r="I135" s="5" t="n">
        <x:f>IFERROR(H135/F135,"")</x:f>
        <x:v>0.06837785514735453</x:v>
      </x:c>
      <x:c r="J135" t="str">
        <x:f>IF(H135&gt;0,"Yes",IF(H135&lt;0,"No","Tie"))</x:f>
        <x:v>Yes</x:v>
      </x:c>
    </x:row>
    <x:row r="136">
      <x:c r="A136" t="str">
        <x:v>OLS</x:v>
      </x:c>
      <x:c r="B136" t="str">
        <x:v>weather</x:v>
      </x:c>
      <x:c r="C136" t="n">
        <x:v>336</x:v>
      </x:c>
      <x:c r="D136" t="str">
        <x:v>COSA-F</x:v>
      </x:c>
      <x:c r="E136" t="str">
        <x:v>Spectral</x:v>
      </x:c>
      <x:c r="F136" s="4" t="n">
        <x:v>0.3103248178958893</x:v>
      </x:c>
      <x:c r="G136" s="4" t="n">
        <x:v>0.23392313718795776</x:v>
      </x:c>
      <x:c r="H136" s="4" t="n">
        <x:f>IF(OR(F136="",G136=""),"",F136-G136)</x:f>
        <x:v>0.07640168070793152</x:v>
      </x:c>
      <x:c r="I136" s="5" t="n">
        <x:f>IFERROR(H136/F136,"")</x:f>
        <x:v>0.24619906724174243</x:v>
      </x:c>
      <x:c r="J136" t="str">
        <x:f>IF(H136&gt;0,"Yes",IF(H136&lt;0,"No","Tie"))</x:f>
        <x:v>Yes</x:v>
      </x:c>
    </x:row>
    <x:row r="137">
      <x:c r="A137" t="str">
        <x:v>OLS</x:v>
      </x:c>
      <x:c r="B137" t="str">
        <x:v>weather</x:v>
      </x:c>
      <x:c r="C137" t="n">
        <x:v>720</x:v>
      </x:c>
      <x:c r="D137" t="str">
        <x:v>COSA-F</x:v>
      </x:c>
      <x:c r="E137" t="str">
        <x:v>Spectral</x:v>
      </x:c>
      <x:c r="F137" s="4" t="n">
        <x:v>0.33591469128926593</x:v>
      </x:c>
      <x:c r="G137" s="4" t="n">
        <x:v>0.22121495008468628</x:v>
      </x:c>
      <x:c r="H137" s="4" t="n">
        <x:f>IF(OR(F137="",G137=""),"",F137-G137)</x:f>
        <x:v>0.11469974120457965</x:v>
      </x:c>
      <x:c r="I137" s="5" t="n">
        <x:f>IFERROR(H137/F137,"")</x:f>
        <x:v>0.34145497109505213</x:v>
      </x:c>
      <x:c r="J137" t="str">
        <x:f>IF(H137&gt;0,"Yes",IF(H137&lt;0,"No","Tie"))</x:f>
        <x:v>Yes</x:v>
      </x:c>
    </x:row>
    <x:row r="138">
      <x:c r="A138" t="str">
        <x:v>OLS</x:v>
      </x:c>
      <x:c r="B138" t="str">
        <x:v>electricity</x:v>
      </x:c>
      <x:c r="C138" t="n">
        <x:v>96</x:v>
      </x:c>
      <x:c r="D138" t="str">
        <x:v>COSA-F</x:v>
      </x:c>
      <x:c r="E138" t="str">
        <x:v>Spectral</x:v>
      </x:c>
      <x:c r="F138" s="4" t="n">
        <x:v>0.19613127410411835</x:v>
      </x:c>
      <x:c r="G138" s="4" t="n">
        <x:v>0.1920198847850164</x:v>
      </x:c>
      <x:c r="H138" s="4" t="n">
        <x:f>IF(OR(F138="",G138=""),"",F138-G138)</x:f>
        <x:v>0.00411138931910196</x:v>
      </x:c>
      <x:c r="I138" s="5" t="n">
        <x:f>IFERROR(H138/F138,"")</x:f>
        <x:v>0.020962436194236857</x:v>
      </x:c>
      <x:c r="J138" t="str">
        <x:f>IF(H138&gt;0,"Yes",IF(H138&lt;0,"No","Tie"))</x:f>
        <x:v>Yes</x:v>
      </x:c>
    </x:row>
    <x:row r="139">
      <x:c r="A139" t="str">
        <x:v>OLS</x:v>
      </x:c>
      <x:c r="B139" t="str">
        <x:v>electricity</x:v>
      </x:c>
      <x:c r="C139" t="n">
        <x:v>192</x:v>
      </x:c>
      <x:c r="D139" t="str">
        <x:v>COSA-F</x:v>
      </x:c>
      <x:c r="E139" t="str">
        <x:v>Spectral</x:v>
      </x:c>
      <x:c r="F139" s="4" t="n">
        <x:v>0.19497466584046683</x:v>
      </x:c>
      <x:c r="G139" s="4" t="n">
        <x:v>0.1913446287314097</x:v>
      </x:c>
      <x:c r="H139" s="4" t="n">
        <x:f>IF(OR(F139="",G139=""),"",F139-G139)</x:f>
        <x:v>0.003630037109057127</x:v>
      </x:c>
      <x:c r="I139" s="5" t="n">
        <x:f>IFERROR(H139/F139,"")</x:f>
        <x:v>0.018617993745030006</x:v>
      </x:c>
      <x:c r="J139" t="str">
        <x:f>IF(H139&gt;0,"Yes",IF(H139&lt;0,"No","Tie"))</x:f>
        <x:v>Yes</x:v>
      </x:c>
    </x:row>
    <x:row r="140">
      <x:c r="A140" t="str">
        <x:v>OLS</x:v>
      </x:c>
      <x:c r="B140" t="str">
        <x:v>electricity</x:v>
      </x:c>
      <x:c r="C140" t="n">
        <x:v>336</x:v>
      </x:c>
      <x:c r="D140" t="str">
        <x:v>COSA-F</x:v>
      </x:c>
      <x:c r="E140" t="str">
        <x:v>Spectral</x:v>
      </x:c>
      <x:c r="F140" s="4" t="n">
        <x:v>0.20398233830928802</x:v>
      </x:c>
      <x:c r="G140" s="4" t="n">
        <x:v>0.1993053505818049</x:v>
      </x:c>
      <x:c r="H140" s="4" t="n">
        <x:f>IF(OR(F140="",G140=""),"",F140-G140)</x:f>
        <x:v>0.004676987727483123</x:v>
      </x:c>
      <x:c r="I140" s="5" t="n">
        <x:f>IFERROR(H140/F140,"")</x:f>
        <x:v>0.02292839549859285</x:v>
      </x:c>
      <x:c r="J140" t="str">
        <x:f>IF(H140&gt;0,"Yes",IF(H140&lt;0,"No","Tie"))</x:f>
        <x:v>Yes</x:v>
      </x:c>
    </x:row>
    <x:row r="141">
      <x:c r="A141" t="str">
        <x:v>MICN</x:v>
      </x:c>
      <x:c r="B141" t="str">
        <x:v>ETTh1</x:v>
      </x:c>
      <x:c r="C141" t="n">
        <x:v>96</x:v>
      </x:c>
      <x:c r="D141" t="str">
        <x:v>COSA-F</x:v>
      </x:c>
      <x:c r="E141" t="str">
        <x:v>Spectral</x:v>
      </x:c>
      <x:c r="F141" s="4" t="n">
        <x:v>0.533108115196228</x:v>
      </x:c>
      <x:c r="G141" s="4" t="n">
        <x:v>0.5266011754671732</x:v>
      </x:c>
      <x:c r="H141" s="4" t="n">
        <x:f>IF(OR(F141="",G141=""),"",F141-G141)</x:f>
        <x:v>0.006506939729054806</x:v>
      </x:c>
      <x:c r="I141" s="5" t="n">
        <x:f>IFERROR(H141/F141,"")</x:f>
        <x:v>0.012205666249630645</x:v>
      </x:c>
      <x:c r="J141" t="str">
        <x:f>IF(H141&gt;0,"Yes",IF(H141&lt;0,"No","Tie"))</x:f>
        <x:v>Yes</x:v>
      </x:c>
    </x:row>
    <x:row r="142">
      <x:c r="A142" t="str">
        <x:v>MICN</x:v>
      </x:c>
      <x:c r="B142" t="str">
        <x:v>ETTh1</x:v>
      </x:c>
      <x:c r="C142" t="n">
        <x:v>192</x:v>
      </x:c>
      <x:c r="D142" t="str">
        <x:v>COSA-F</x:v>
      </x:c>
      <x:c r="E142" t="str">
        <x:v>Spectral</x:v>
      </x:c>
      <x:c r="F142" s="4" t="n">
        <x:v>0.6018863121668497</x:v>
      </x:c>
      <x:c r="G142" s="4" t="n">
        <x:v>0.5893027385075887</x:v>
      </x:c>
      <x:c r="H142" s="4" t="n">
        <x:f>IF(OR(F142="",G142=""),"",F142-G142)</x:f>
        <x:v>0.012583573659260994</x:v>
      </x:c>
      <x:c r="I142" s="5" t="n">
        <x:f>IFERROR(H142/F142,"")</x:f>
        <x:v>0.02090689454950204</x:v>
      </x:c>
      <x:c r="J142" t="str">
        <x:f>IF(H142&gt;0,"Yes",IF(H142&lt;0,"No","Tie"))</x:f>
        <x:v>Yes</x:v>
      </x:c>
    </x:row>
    <x:row r="143">
      <x:c r="A143" t="str">
        <x:v>MICN</x:v>
      </x:c>
      <x:c r="B143" t="str">
        <x:v>ETTh1</x:v>
      </x:c>
      <x:c r="C143" t="n">
        <x:v>336</x:v>
      </x:c>
      <x:c r="D143" t="str">
        <x:v>COSA-F</x:v>
      </x:c>
      <x:c r="E143" t="str">
        <x:v>Spectral</x:v>
      </x:c>
      <x:c r="F143" s="4" t="n">
        <x:v>0.6675559878349304</x:v>
      </x:c>
      <x:c r="G143" s="4" t="n">
        <x:v>0.6438799699147543</x:v>
      </x:c>
      <x:c r="H143" s="4" t="n">
        <x:f>IF(OR(F143="",G143=""),"",F143-G143)</x:f>
        <x:v>0.02367601792017615</x:v>
      </x:c>
      <x:c r="I143" s="5" t="n">
        <x:f>IFERROR(H143/F143,"")</x:f>
        <x:v>0.035466714929730546</x:v>
      </x:c>
      <x:c r="J143" t="str">
        <x:f>IF(H143&gt;0,"Yes",IF(H143&lt;0,"No","Tie"))</x:f>
        <x:v>Yes</x:v>
      </x:c>
    </x:row>
    <x:row r="144">
      <x:c r="A144" t="str">
        <x:v>MICN</x:v>
      </x:c>
      <x:c r="B144" t="str">
        <x:v>ETTh1</x:v>
      </x:c>
      <x:c r="C144" t="n">
        <x:v>720</x:v>
      </x:c>
      <x:c r="D144" t="str">
        <x:v>COSA-F</x:v>
      </x:c>
      <x:c r="E144" t="str">
        <x:v>Spectral</x:v>
      </x:c>
      <x:c r="F144" s="4" t="n">
        <x:v>0.691416323184967</x:v>
      </x:c>
      <x:c r="G144" s="4" t="n">
        <x:v>0.6928068796793619</x:v>
      </x:c>
      <x:c r="H144" s="4" t="n">
        <x:f>IF(OR(F144="",G144=""),"",F144-G144)</x:f>
        <x:v>-0.0013905564943949011</x:v>
      </x:c>
      <x:c r="I144" s="5" t="n">
        <x:f>IFERROR(H144/F144,"")</x:f>
        <x:v>-0.0020111710524700773</x:v>
      </x:c>
      <x:c r="J144" t="str">
        <x:f>IF(H144&gt;0,"Yes",IF(H144&lt;0,"No","Tie"))</x:f>
        <x:v>No</x:v>
      </x:c>
    </x:row>
    <x:row r="145">
      <x:c r="A145" t="str">
        <x:v>MICN</x:v>
      </x:c>
      <x:c r="B145" t="str">
        <x:v>ETTh2</x:v>
      </x:c>
      <x:c r="C145" t="n">
        <x:v>96</x:v>
      </x:c>
      <x:c r="D145" t="str">
        <x:v>COSA-F</x:v>
      </x:c>
      <x:c r="E145" t="str">
        <x:v>Spectral</x:v>
      </x:c>
      <x:c r="F145" s="4" t="n">
        <x:v>0.19184347490469614</x:v>
      </x:c>
      <x:c r="G145" s="4" t="n">
        <x:v>0.19287092487017313</x:v>
      </x:c>
      <x:c r="H145" s="4" t="n">
        <x:f>IF(OR(F145="",G145=""),"",F145-G145)</x:f>
        <x:v>-0.0010274499654769897</x:v>
      </x:c>
      <x:c r="I145" s="5" t="n">
        <x:f>IFERROR(H145/F145,"")</x:f>
        <x:v>-0.005355668030864253</x:v>
      </x:c>
      <x:c r="J145" t="str">
        <x:f>IF(H145&gt;0,"Yes",IF(H145&lt;0,"No","Tie"))</x:f>
        <x:v>No</x:v>
      </x:c>
    </x:row>
    <x:row r="146">
      <x:c r="A146" t="str">
        <x:v>MICN</x:v>
      </x:c>
      <x:c r="B146" t="str">
        <x:v>ETTh2</x:v>
      </x:c>
      <x:c r="C146" t="n">
        <x:v>192</x:v>
      </x:c>
      <x:c r="D146" t="str">
        <x:v>COSA-F</x:v>
      </x:c>
      <x:c r="E146" t="str">
        <x:v>Spectral</x:v>
      </x:c>
      <x:c r="F146" s="4" t="n">
        <x:v>0.24708900849024454</x:v>
      </x:c>
      <x:c r="G146" s="4" t="n">
        <x:v>0.24598835905392966</x:v>
      </x:c>
      <x:c r="H146" s="4" t="n">
        <x:f>IF(OR(F146="",G146=""),"",F146-G146)</x:f>
        <x:v>0.0011006494363148822</x:v>
      </x:c>
      <x:c r="I146" s="5" t="n">
        <x:f>IFERROR(H146/F146,"")</x:f>
        <x:v>0.004454465388970702</x:v>
      </x:c>
      <x:c r="J146" t="str">
        <x:f>IF(H146&gt;0,"Yes",IF(H146&lt;0,"No","Tie"))</x:f>
        <x:v>Yes</x:v>
      </x:c>
    </x:row>
    <x:row r="147">
      <x:c r="A147" t="str">
        <x:v>MICN</x:v>
      </x:c>
      <x:c r="B147" t="str">
        <x:v>ETTh2</x:v>
      </x:c>
      <x:c r="C147" t="n">
        <x:v>336</x:v>
      </x:c>
      <x:c r="D147" t="str">
        <x:v>COSA-F</x:v>
      </x:c>
      <x:c r="E147" t="str">
        <x:v>Spectral</x:v>
      </x:c>
      <x:c r="F147" s="4" t="n">
        <x:v>0.27039098739624023</x:v>
      </x:c>
      <x:c r="G147" s="4" t="n">
        <x:v>0.2770679493745168</x:v>
      </x:c>
      <x:c r="H147" s="4" t="n">
        <x:f>IF(OR(F147="",G147=""),"",F147-G147)</x:f>
        <x:v>-0.006676961978276552</x:v>
      </x:c>
      <x:c r="I147" s="5" t="n">
        <x:f>IFERROR(H147/F147,"")</x:f>
        <x:v>-0.024693729782094782</x:v>
      </x:c>
      <x:c r="J147" t="str">
        <x:f>IF(H147&gt;0,"Yes",IF(H147&lt;0,"No","Tie"))</x:f>
        <x:v>No</x:v>
      </x:c>
    </x:row>
    <x:row r="148">
      <x:c r="A148" t="str">
        <x:v>MICN</x:v>
      </x:c>
      <x:c r="B148" t="str">
        <x:v>ETTh2</x:v>
      </x:c>
      <x:c r="C148" t="n">
        <x:v>720</x:v>
      </x:c>
      <x:c r="D148" t="str">
        <x:v>COSA-F</x:v>
      </x:c>
      <x:c r="E148" t="str">
        <x:v>Spectral</x:v>
      </x:c>
      <x:c r="F148" s="4" t="n">
        <x:v>0.3187773923079173</x:v>
      </x:c>
      <x:c r="G148" s="4" t="n">
        <x:v>0.3181272049744924</x:v>
      </x:c>
      <x:c r="H148" s="4" t="n">
        <x:f>IF(OR(F148="",G148=""),"",F148-G148)</x:f>
        <x:v>0.0006501873334249231</x:v>
      </x:c>
      <x:c r="I148" s="5" t="n">
        <x:f>IFERROR(H148/F148,"")</x:f>
        <x:v>0.002039628120167588</x:v>
      </x:c>
      <x:c r="J148" t="str">
        <x:f>IF(H148&gt;0,"Yes",IF(H148&lt;0,"No","Tie"))</x:f>
        <x:v>Yes</x:v>
      </x:c>
    </x:row>
    <x:row r="149">
      <x:c r="A149" t="str">
        <x:v>MICN</x:v>
      </x:c>
      <x:c r="B149" t="str">
        <x:v>ETTm1</x:v>
      </x:c>
      <x:c r="C149" t="n">
        <x:v>96</x:v>
      </x:c>
      <x:c r="D149" t="str">
        <x:v>COSA-F</x:v>
      </x:c>
      <x:c r="E149" t="str">
        <x:v>Spectral</x:v>
      </x:c>
      <x:c r="F149" s="4" t="n">
        <x:v>0.3951546549797058</x:v>
      </x:c>
      <x:c r="G149" s="4" t="n">
        <x:v>0.3722110986709595</x:v>
      </x:c>
      <x:c r="H149" s="4" t="n">
        <x:f>IF(OR(F149="",G149=""),"",F149-G149)</x:f>
        <x:v>0.022943556308746338</x:v>
      </x:c>
      <x:c r="I149" s="5" t="n">
        <x:f>IFERROR(H149/F149,"")</x:f>
        <x:v>0.0580622194870124</x:v>
      </x:c>
      <x:c r="J149" t="str">
        <x:f>IF(H149&gt;0,"Yes",IF(H149&lt;0,"No","Tie"))</x:f>
        <x:v>Yes</x:v>
      </x:c>
    </x:row>
    <x:row r="150">
      <x:c r="A150" t="str">
        <x:v>MICN</x:v>
      </x:c>
      <x:c r="B150" t="str">
        <x:v>ETTm1</x:v>
      </x:c>
      <x:c r="C150" t="n">
        <x:v>192</x:v>
      </x:c>
      <x:c r="D150" t="str">
        <x:v>COSA-F</x:v>
      </x:c>
      <x:c r="E150" t="str">
        <x:v>Spectral</x:v>
      </x:c>
      <x:c r="F150" s="4" t="n">
        <x:v>0.47061283389727276</x:v>
      </x:c>
      <x:c r="G150" s="4" t="n">
        <x:v>0.44295592109362286</x:v>
      </x:c>
      <x:c r="H150" s="4" t="n">
        <x:f>IF(OR(F150="",G150=""),"",F150-G150)</x:f>
        <x:v>0.027656912803649902</x:v>
      </x:c>
      <x:c r="I150" s="5" t="n">
        <x:f>IFERROR(H150/F150,"")</x:f>
        <x:v>0.05876786779190761</x:v>
      </x:c>
      <x:c r="J150" t="str">
        <x:f>IF(H150&gt;0,"Yes",IF(H150&lt;0,"No","Tie"))</x:f>
        <x:v>Yes</x:v>
      </x:c>
    </x:row>
    <x:row r="151">
      <x:c r="A151" t="str">
        <x:v>MICN</x:v>
      </x:c>
      <x:c r="B151" t="str">
        <x:v>ETTm1</x:v>
      </x:c>
      <x:c r="C151" t="n">
        <x:v>336</x:v>
      </x:c>
      <x:c r="D151" t="str">
        <x:v>COSA-F</x:v>
      </x:c>
      <x:c r="E151" t="str">
        <x:v>Spectral</x:v>
      </x:c>
      <x:c r="F151" s="4" t="n">
        <x:v>0.5430137316385905</x:v>
      </x:c>
      <x:c r="G151" s="4" t="n">
        <x:v>0.5088350772857666</x:v>
      </x:c>
      <x:c r="H151" s="4" t="n">
        <x:f>IF(OR(F151="",G151=""),"",F151-G151)</x:f>
        <x:v>0.034178654352823856</x:v>
      </x:c>
      <x:c r="I151" s="5" t="n">
        <x:f>IFERROR(H151/F151,"")</x:f>
        <x:v>0.06294252311021092</x:v>
      </x:c>
      <x:c r="J151" t="str">
        <x:f>IF(H151&gt;0,"Yes",IF(H151&lt;0,"No","Tie"))</x:f>
        <x:v>Yes</x:v>
      </x:c>
    </x:row>
    <x:row r="152">
      <x:c r="A152" t="str">
        <x:v>MICN</x:v>
      </x:c>
      <x:c r="B152" t="str">
        <x:v>ETTm1</x:v>
      </x:c>
      <x:c r="C152" t="n">
        <x:v>720</x:v>
      </x:c>
      <x:c r="D152" t="str">
        <x:v>COSA-F</x:v>
      </x:c>
      <x:c r="E152" t="str">
        <x:v>Spectral</x:v>
      </x:c>
      <x:c r="F152" s="4" t="n">
        <x:v>0.5779280861218771</x:v>
      </x:c>
      <x:c r="G152" s="4" t="n">
        <x:v>0.5502469142278036</x:v>
      </x:c>
      <x:c r="H152" s="4" t="n">
        <x:f>IF(OR(F152="",G152=""),"",F152-G152)</x:f>
        <x:v>0.027681171894073486</x:v>
      </x:c>
      <x:c r="I152" s="5" t="n">
        <x:f>IFERROR(H152/F152,"")</x:f>
        <x:v>0.04789726015882867</x:v>
      </x:c>
      <x:c r="J152" t="str">
        <x:f>IF(H152&gt;0,"Yes",IF(H152&lt;0,"No","Tie"))</x:f>
        <x:v>Yes</x:v>
      </x:c>
    </x:row>
    <x:row r="153">
      <x:c r="A153" t="str">
        <x:v>MICN</x:v>
      </x:c>
      <x:c r="B153" t="str">
        <x:v>ETTm2</x:v>
      </x:c>
      <x:c r="C153" t="n">
        <x:v>96</x:v>
      </x:c>
      <x:c r="D153" t="str">
        <x:v>COSA-F</x:v>
      </x:c>
      <x:c r="E153" t="str">
        <x:v>Spectral</x:v>
      </x:c>
      <x:c r="F153" s="4" t="n">
        <x:v>0.1303348789612452</x:v>
      </x:c>
      <x:c r="G153" s="4" t="n">
        <x:v>0.1269521564245224</x:v>
      </x:c>
      <x:c r="H153" s="4" t="n">
        <x:f>IF(OR(F153="",G153=""),"",F153-G153)</x:f>
        <x:v>0.0033827225367228098</x:v>
      </x:c>
      <x:c r="I153" s="5" t="n">
        <x:f>IFERROR(H153/F153,"")</x:f>
        <x:v>0.025954085074407864</x:v>
      </x:c>
      <x:c r="J153" t="str">
        <x:f>IF(H153&gt;0,"Yes",IF(H153&lt;0,"No","Tie"))</x:f>
        <x:v>Yes</x:v>
      </x:c>
    </x:row>
    <x:row r="154">
      <x:c r="A154" t="str">
        <x:v>MICN</x:v>
      </x:c>
      <x:c r="B154" t="str">
        <x:v>ETTm2</x:v>
      </x:c>
      <x:c r="C154" t="n">
        <x:v>192</x:v>
      </x:c>
      <x:c r="D154" t="str">
        <x:v>COSA-F</x:v>
      </x:c>
      <x:c r="E154" t="str">
        <x:v>Spectral</x:v>
      </x:c>
      <x:c r="F154" s="4" t="n">
        <x:v>0.174891064564387</x:v>
      </x:c>
      <x:c r="G154" s="4" t="n">
        <x:v>0.16440797845522562</x:v>
      </x:c>
      <x:c r="H154" s="4" t="n">
        <x:f>IF(OR(F154="",G154=""),"",F154-G154)</x:f>
        <x:v>0.010483086109161377</x:v>
      </x:c>
      <x:c r="I154" s="5" t="n">
        <x:f>IFERROR(H154/F154,"")</x:f>
        <x:v>0.05994066154993286</x:v>
      </x:c>
      <x:c r="J154" t="str">
        <x:f>IF(H154&gt;0,"Yes",IF(H154&lt;0,"No","Tie"))</x:f>
        <x:v>Yes</x:v>
      </x:c>
    </x:row>
    <x:row r="155">
      <x:c r="A155" t="str">
        <x:v>MICN</x:v>
      </x:c>
      <x:c r="B155" t="str">
        <x:v>ETTm2</x:v>
      </x:c>
      <x:c r="C155" t="n">
        <x:v>336</x:v>
      </x:c>
      <x:c r="D155" t="str">
        <x:v>COSA-F</x:v>
      </x:c>
      <x:c r="E155" t="str">
        <x:v>Spectral</x:v>
      </x:c>
      <x:c r="F155" s="4" t="n">
        <x:v>0.2154349982738495</x:v>
      </x:c>
      <x:c r="G155" s="4" t="n">
        <x:v>0.18497327466805777</x:v>
      </x:c>
      <x:c r="H155" s="4" t="n">
        <x:f>IF(OR(F155="",G155=""),"",F155-G155)</x:f>
        <x:v>0.03046172360579172</x:v>
      </x:c>
      <x:c r="I155" s="5" t="n">
        <x:f>IFERROR(H155/F155,"")</x:f>
        <x:v>0.14139635551262844</x:v>
      </x:c>
      <x:c r="J155" t="str">
        <x:f>IF(H155&gt;0,"Yes",IF(H155&lt;0,"No","Tie"))</x:f>
        <x:v>Yes</x:v>
      </x:c>
    </x:row>
    <x:row r="156">
      <x:c r="A156" t="str">
        <x:v>MICN</x:v>
      </x:c>
      <x:c r="B156" t="str">
        <x:v>ETTm2</x:v>
      </x:c>
      <x:c r="C156" t="n">
        <x:v>720</x:v>
      </x:c>
      <x:c r="D156" t="str">
        <x:v>COSA-F</x:v>
      </x:c>
      <x:c r="E156" t="str">
        <x:v>Spectral</x:v>
      </x:c>
      <x:c r="F156" s="4" t="n">
        <x:v>0.24465498824914297</x:v>
      </x:c>
      <x:c r="G156" s="4" t="n">
        <x:v>0.20328092078367868</x:v>
      </x:c>
      <x:c r="H156" s="4" t="n">
        <x:f>IF(OR(F156="",G156=""),"",F156-G156)</x:f>
        <x:v>0.04137406746546429</x:v>
      </x:c>
      <x:c r="I156" s="5" t="n">
        <x:f>IFERROR(H156/F156,"")</x:f>
        <x:v>0.16911189001930854</x:v>
      </x:c>
      <x:c r="J156" t="str">
        <x:f>IF(H156&gt;0,"Yes",IF(H156&lt;0,"No","Tie"))</x:f>
        <x:v>Yes</x:v>
      </x:c>
    </x:row>
    <x:row r="157">
      <x:c r="A157" t="str">
        <x:v>MICN</x:v>
      </x:c>
      <x:c r="B157" t="str">
        <x:v>Exchange Rate</x:v>
      </x:c>
      <x:c r="C157" t="n">
        <x:v>96</x:v>
      </x:c>
      <x:c r="D157" t="str">
        <x:v>COSA-F</x:v>
      </x:c>
      <x:c r="E157" t="str">
        <x:v>Spectral</x:v>
      </x:c>
      <x:c r="F157" s="4" t="n">
        <x:v>0.0992131878932317</x:v>
      </x:c>
      <x:c r="G157" s="4" t="n">
        <x:v>0.09961241732041042</x:v>
      </x:c>
      <x:c r="H157" s="4" t="n">
        <x:f>IF(OR(F157="",G157=""),"",F157-G157)</x:f>
        <x:v>-0.00039922942717871</x:v>
      </x:c>
      <x:c r="I157" s="5" t="n">
        <x:f>IFERROR(H157/F157,"")</x:f>
        <x:v>-0.004023955238776733</x:v>
      </x:c>
      <x:c r="J157" t="str">
        <x:f>IF(H157&gt;0,"Yes",IF(H157&lt;0,"No","Tie"))</x:f>
        <x:v>No</x:v>
      </x:c>
    </x:row>
    <x:row r="158">
      <x:c r="A158" t="str">
        <x:v>MICN</x:v>
      </x:c>
      <x:c r="B158" t="str">
        <x:v>Exchange Rate</x:v>
      </x:c>
      <x:c r="C158" t="n">
        <x:v>192</x:v>
      </x:c>
      <x:c r="D158" t="str">
        <x:v>COSA-F</x:v>
      </x:c>
      <x:c r="E158" t="str">
        <x:v>Spectral</x:v>
      </x:c>
      <x:c r="F158" s="4" t="n">
        <x:v>0.18105116983254751</x:v>
      </x:c>
      <x:c r="G158" s="4" t="n">
        <x:v>0.1748161862293879</x:v>
      </x:c>
      <x:c r="H158" s="4" t="n">
        <x:f>IF(OR(F158="",G158=""),"",F158-G158)</x:f>
        <x:v>0.006234983603159605</x:v>
      </x:c>
      <x:c r="I158" s="5" t="n">
        <x:f>IFERROR(H158/F158,"")</x:f>
        <x:v>0.03443768747214548</x:v>
      </x:c>
      <x:c r="J158" t="str">
        <x:f>IF(H158&gt;0,"Yes",IF(H158&lt;0,"No","Tie"))</x:f>
        <x:v>Yes</x:v>
      </x:c>
    </x:row>
    <x:row r="159">
      <x:c r="A159" t="str">
        <x:v>MICN</x:v>
      </x:c>
      <x:c r="B159" t="str">
        <x:v>Exchange Rate</x:v>
      </x:c>
      <x:c r="C159" t="n">
        <x:v>336</x:v>
      </x:c>
      <x:c r="D159" t="str">
        <x:v>COSA-F</x:v>
      </x:c>
      <x:c r="E159" t="str">
        <x:v>Spectral</x:v>
      </x:c>
      <x:c r="F159" s="4" t="n">
        <x:v>0.24907074371973673</x:v>
      </x:c>
      <x:c r="G159" s="4" t="n">
        <x:v>0.24237175285816193</x:v>
      </x:c>
      <x:c r="H159" s="4" t="n">
        <x:f>IF(OR(F159="",G159=""),"",F159-G159)</x:f>
        <x:v>0.0066989908615747995</x:v>
      </x:c>
      <x:c r="I159" s="5" t="n">
        <x:f>IFERROR(H159/F159,"")</x:f>
        <x:v>0.02689593631724464</x:v>
      </x:c>
      <x:c r="J159" t="str">
        <x:f>IF(H159&gt;0,"Yes",IF(H159&lt;0,"No","Tie"))</x:f>
        <x:v>Yes</x:v>
      </x:c>
    </x:row>
    <x:row r="160">
      <x:c r="A160" t="str">
        <x:v>MICN</x:v>
      </x:c>
      <x:c r="B160" t="str">
        <x:v>Exchange Rate</x:v>
      </x:c>
      <x:c r="C160" t="n">
        <x:v>720</x:v>
      </x:c>
      <x:c r="D160" t="str">
        <x:v>COSA-F</x:v>
      </x:c>
      <x:c r="E160" t="str">
        <x:v>Spectral</x:v>
      </x:c>
      <x:c r="F160" s="4" t="n">
        <x:v>0.5924359957377116</x:v>
      </x:c>
      <x:c r="G160" s="4" t="n">
        <x:v>0.6371023654937744</x:v>
      </x:c>
      <x:c r="H160" s="4" t="n">
        <x:f>IF(OR(F160="",G160=""),"",F160-G160)</x:f>
        <x:v>-0.04466636975606286</x:v>
      </x:c>
      <x:c r="I160" s="5" t="n">
        <x:f>IFERROR(H160/F160,"")</x:f>
        <x:v>-0.0753944224817797</x:v>
      </x:c>
      <x:c r="J160" t="str">
        <x:f>IF(H160&gt;0,"Yes",IF(H160&lt;0,"No","Tie"))</x:f>
        <x:v>No</x:v>
      </x:c>
    </x:row>
    <x:row r="161">
      <x:c r="A161" t="str">
        <x:v>MICN</x:v>
      </x:c>
      <x:c r="B161" t="str">
        <x:v>weather</x:v>
      </x:c>
      <x:c r="C161" t="n">
        <x:v>96</x:v>
      </x:c>
      <x:c r="D161" t="str">
        <x:v>COSA-F</x:v>
      </x:c>
      <x:c r="E161" t="str">
        <x:v>Spectral</x:v>
      </x:c>
      <x:c r="F161" s="4" t="n">
        <x:v>0.1703042984008789</x:v>
      </x:c>
      <x:c r="G161" s="4" t="n">
        <x:v>0.16955308616161346</x:v>
      </x:c>
      <x:c r="H161" s="4" t="n">
        <x:f>IF(OR(F161="",G161=""),"",F161-G161)</x:f>
        <x:v>0.0007512122392654419</x:v>
      </x:c>
      <x:c r="I161" s="5" t="n">
        <x:f>IFERROR(H161/F161,"")</x:f>
        <x:v>0.004410999876803844</x:v>
      </x:c>
      <x:c r="J161" t="str">
        <x:f>IF(H161&gt;0,"Yes",IF(H161&lt;0,"No","Tie"))</x:f>
        <x:v>Yes</x:v>
      </x:c>
    </x:row>
    <x:row r="162">
      <x:c r="A162" t="str">
        <x:v>MICN</x:v>
      </x:c>
      <x:c r="B162" t="str">
        <x:v>weather</x:v>
      </x:c>
      <x:c r="C162" t="n">
        <x:v>192</x:v>
      </x:c>
      <x:c r="D162" t="str">
        <x:v>COSA-F</x:v>
      </x:c>
      <x:c r="E162" t="str">
        <x:v>Spectral</x:v>
      </x:c>
      <x:c r="F162" s="4" t="n">
        <x:v>0.24612325926621756</x:v>
      </x:c>
      <x:c r="G162" s="4" t="n">
        <x:v>0.2233666330575943</x:v>
      </x:c>
      <x:c r="H162" s="4" t="n">
        <x:f>IF(OR(F162="",G162=""),"",F162-G162)</x:f>
        <x:v>0.02275662620862326</x:v>
      </x:c>
      <x:c r="I162" s="5" t="n">
        <x:f>IFERROR(H162/F162,"")</x:f>
        <x:v>0.09246028301619681</x:v>
      </x:c>
      <x:c r="J162" t="str">
        <x:f>IF(H162&gt;0,"Yes",IF(H162&lt;0,"No","Tie"))</x:f>
        <x:v>Yes</x:v>
      </x:c>
    </x:row>
    <x:row r="163">
      <x:c r="A163" t="str">
        <x:v>MICN</x:v>
      </x:c>
      <x:c r="B163" t="str">
        <x:v>weather</x:v>
      </x:c>
      <x:c r="C163" t="n">
        <x:v>336</x:v>
      </x:c>
      <x:c r="D163" t="str">
        <x:v>COSA-F</x:v>
      </x:c>
      <x:c r="E163" t="str">
        <x:v>Spectral</x:v>
      </x:c>
      <x:c r="F163" s="4" t="n">
        <x:v>0.3264876405398051</x:v>
      </x:c>
      <x:c r="G163" s="4" t="n">
        <x:v>0.2554969737927119</x:v>
      </x:c>
      <x:c r="H163" s="4" t="n">
        <x:f>IF(OR(F163="",G163=""),"",F163-G163)</x:f>
        <x:v>0.0709906667470932</x:v>
      </x:c>
      <x:c r="I163" s="5" t="n">
        <x:f>IFERROR(H163/F163,"")</x:f>
        <x:v>0.21743753187630413</x:v>
      </x:c>
      <x:c r="J163" t="str">
        <x:f>IF(H163&gt;0,"Yes",IF(H163&lt;0,"No","Tie"))</x:f>
        <x:v>Yes</x:v>
      </x:c>
    </x:row>
    <x:row r="164">
      <x:c r="A164" t="str">
        <x:v>MICN</x:v>
      </x:c>
      <x:c r="B164" t="str">
        <x:v>weather</x:v>
      </x:c>
      <x:c r="C164" t="n">
        <x:v>720</x:v>
      </x:c>
      <x:c r="D164" t="str">
        <x:v>COSA-F</x:v>
      </x:c>
      <x:c r="E164" t="str">
        <x:v>Spectral</x:v>
      </x:c>
      <x:c r="F164" s="4" t="n">
        <x:v>0.3473902742067973</x:v>
      </x:c>
      <x:c r="G164" s="4" t="n">
        <x:v>0.23238626619180044</x:v>
      </x:c>
      <x:c r="H164" s="4" t="n">
        <x:f>IF(OR(F164="",G164=""),"",F164-G164)</x:f>
        <x:v>0.11500400801499686</x:v>
      </x:c>
      <x:c r="I164" s="5" t="n">
        <x:f>IFERROR(H164/F164,"")</x:f>
        <x:v>0.3310513176501203</x:v>
      </x:c>
      <x:c r="J164" t="str">
        <x:f>IF(H164&gt;0,"Yes",IF(H164&lt;0,"No","Tie"))</x:f>
        <x:v>Yes</x:v>
      </x:c>
    </x:row>
    <x:row r="165">
      <x:c r="A165" t="str">
        <x:v>MICN</x:v>
      </x:c>
      <x:c r="B165" t="str">
        <x:v>electricity</x:v>
      </x:c>
      <x:c r="C165" t="n">
        <x:v>96</x:v>
      </x:c>
      <x:c r="D165" t="str">
        <x:v>COSA-F</x:v>
      </x:c>
      <x:c r="E165" t="str">
        <x:v>Spectral</x:v>
      </x:c>
      <x:c r="F165" s="4" t="n">
        <x:v>0.17482146124045053</x:v>
      </x:c>
      <x:c r="G165" s="4" t="n">
        <x:v>0.17284861703713736</x:v>
      </x:c>
      <x:c r="H165" s="4" t="n">
        <x:f>IF(OR(F165="",G165=""),"",F165-G165)</x:f>
        <x:v>0.0019728442033131732</x:v>
      </x:c>
      <x:c r="I165" s="5" t="n">
        <x:f>IFERROR(H165/F165,"")</x:f>
        <x:v>0.011284908553645544</x:v>
      </x:c>
      <x:c r="J165" t="str">
        <x:f>IF(H165&gt;0,"Yes",IF(H165&lt;0,"No","Tie"))</x:f>
        <x:v>Yes</x:v>
      </x:c>
    </x:row>
    <x:row r="166">
      <x:c r="A166" t="str">
        <x:v>MICN</x:v>
      </x:c>
      <x:c r="B166" t="str">
        <x:v>electricity</x:v>
      </x:c>
      <x:c r="C166" t="n">
        <x:v>192</x:v>
      </x:c>
      <x:c r="D166" t="str">
        <x:v>COSA-F</x:v>
      </x:c>
      <x:c r="E166" t="str">
        <x:v>Spectral</x:v>
      </x:c>
      <x:c r="F166" s="4" t="n">
        <x:v>0.18364623188972473</x:v>
      </x:c>
      <x:c r="G166" s="4" t="n">
        <x:v>0.1830666015545527</x:v>
      </x:c>
      <x:c r="H166" s="4" t="n">
        <x:f>IF(OR(F166="",G166=""),"",F166-G166)</x:f>
        <x:v>0.0005796303351720267</x:v>
      </x:c>
      <x:c r="I166" s="5" t="n">
        <x:f>IFERROR(H166/F166,"")</x:f>
        <x:v>0.003156233205591069</x:v>
      </x:c>
      <x:c r="J166" t="str">
        <x:f>IF(H166&gt;0,"Yes",IF(H166&lt;0,"No","Tie"))</x:f>
        <x:v>Yes</x:v>
      </x:c>
    </x:row>
    <x:row r="167">
      <x:c r="A167" t="str">
        <x:v>MICN</x:v>
      </x:c>
      <x:c r="B167" t="str">
        <x:v>electricity</x:v>
      </x:c>
      <x:c r="C167" t="n">
        <x:v>336</x:v>
      </x:c>
      <x:c r="D167" t="str">
        <x:v>COSA-F</x:v>
      </x:c>
      <x:c r="E167" t="str">
        <x:v>Spectral</x:v>
      </x:c>
      <x:c r="F167" s="4" t="n">
        <x:v>0.18340186774730682</x:v>
      </x:c>
      <x:c r="G167" s="4" t="n">
        <x:v>0.18436365822950998</x:v>
      </x:c>
      <x:c r="H167" s="4" t="n">
        <x:f>IF(OR(F167="",G167=""),"",F167-G167)</x:f>
        <x:v>-0.0009617904822031564</x:v>
      </x:c>
      <x:c r="I167" s="5" t="n">
        <x:f>IFERROR(H167/F167,"")</x:f>
        <x:v>-0.005244169506105152</x:v>
      </x:c>
      <x:c r="J167" t="str">
        <x:f>IF(H167&gt;0,"Yes",IF(H167&lt;0,"No","Tie"))</x:f>
        <x:v>No</x:v>
      </x:c>
    </x:row>
    <x:row r="168">
      <x:c r="A168" t="str">
        <x:v>MICN</x:v>
      </x:c>
      <x:c r="B168" t="str">
        <x:v>electricity</x:v>
      </x:c>
      <x:c r="C168" t="n">
        <x:v>720</x:v>
      </x:c>
      <x:c r="D168" t="str">
        <x:v>COSA-F</x:v>
      </x:c>
      <x:c r="E168" t="str">
        <x:v>Spectral</x:v>
      </x:c>
      <x:c r="F168" s="4" t="n">
        <x:v>0.1951456218957901</x:v>
      </x:c>
      <x:c r="G168" s="4" t="n">
        <x:v>0.18583383659521738</x:v>
      </x:c>
      <x:c r="H168" s="4" t="n">
        <x:f>IF(OR(F168="",G168=""),"",F168-G168)</x:f>
        <x:v>0.009311785300572722</x:v>
      </x:c>
      <x:c r="I168" s="5" t="n">
        <x:f>IFERROR(H168/F168,"")</x:f>
        <x:v>0.04771711099696266</x:v>
      </x:c>
      <x:c r="J168" t="str">
        <x:f>IF(H168&gt;0,"Yes",IF(H168&lt;0,"No","Tie"))</x:f>
        <x:v>Yes</x:v>
      </x:c>
    </x:row>
    <x:row r="169">
      <x:c r="A169" t="str">
        <x:v>MICN</x:v>
      </x:c>
      <x:c r="B169" t="str">
        <x:v>traffic</x:v>
      </x:c>
      <x:c r="C169" t="n">
        <x:v>96</x:v>
      </x:c>
      <x:c r="D169" t="str">
        <x:v>COSA-F</x:v>
      </x:c>
      <x:c r="E169" t="str">
        <x:v>Spectral</x:v>
      </x:c>
      <x:c r="F169" s="4" t="n">
        <x:v>0.46380258599917096</x:v>
      </x:c>
      <x:c r="G169" s="4" t="n">
        <x:v>0.4626895288626353</x:v>
      </x:c>
      <x:c r="H169" s="4" t="n">
        <x:f>IF(OR(F169="",G169=""),"",F169-G169)</x:f>
        <x:v>0.0011130571365356445</x:v>
      </x:c>
      <x:c r="I169" s="5" t="n">
        <x:f>IFERROR(H169/F169,"")</x:f>
        <x:v>0.002399851079177972</x:v>
      </x:c>
      <x:c r="J169" t="str">
        <x:f>IF(H169&gt;0,"Yes",IF(H169&lt;0,"No","Tie"))</x:f>
        <x:v>Yes</x:v>
      </x:c>
    </x:row>
    <x:row r="170">
      <x:c r="A170" t="str">
        <x:v>MICN</x:v>
      </x:c>
      <x:c r="B170" t="str">
        <x:v>traffic</x:v>
      </x:c>
      <x:c r="C170" t="n">
        <x:v>192</x:v>
      </x:c>
      <x:c r="D170" t="str">
        <x:v>COSA-F</x:v>
      </x:c>
      <x:c r="E170" t="str">
        <x:v>Spectral</x:v>
      </x:c>
      <x:c r="F170" s="4" t="n">
        <x:v>0.47795917590459186</x:v>
      </x:c>
      <x:c r="G170" s="4" t="n">
        <x:v>0.4781697789827983</x:v>
      </x:c>
      <x:c r="H170" s="4" t="n">
        <x:f>IF(OR(F170="",G170=""),"",F170-G170)</x:f>
        <x:v>-0.00021060307820641722</x:v>
      </x:c>
      <x:c r="I170" s="5" t="n">
        <x:f>IFERROR(H170/F170,"")</x:f>
        <x:v>-0.0004406298462788732</x:v>
      </x:c>
      <x:c r="J170" t="str">
        <x:f>IF(H170&gt;0,"Yes",IF(H170&lt;0,"No","Tie"))</x:f>
        <x:v>No</x:v>
      </x:c>
    </x:row>
    <x:row r="171">
      <x:c r="A171" t="str">
        <x:v>MICN</x:v>
      </x:c>
      <x:c r="B171" t="str">
        <x:v>traffic</x:v>
      </x:c>
      <x:c r="C171" t="n">
        <x:v>336</x:v>
      </x:c>
      <x:c r="D171" t="str">
        <x:v>COSA-F</x:v>
      </x:c>
      <x:c r="E171" t="str">
        <x:v>Spectral</x:v>
      </x:c>
      <x:c r="F171" s="4" t="n">
        <x:v>0.4989924331506093</x:v>
      </x:c>
      <x:c r="G171" s="4" t="n">
        <x:v>0.4998069703578949</x:v>
      </x:c>
      <x:c r="H171" s="4" t="n">
        <x:f>IF(OR(F171="",G171=""),"",F171-G171)</x:f>
        <x:v>-0.0008145372072855817</x:v>
      </x:c>
      <x:c r="I171" s="5" t="n">
        <x:f>IFERROR(H171/F171,"")</x:f>
        <x:v>-0.0016323638459658414</x:v>
      </x:c>
      <x:c r="J171" t="str">
        <x:f>IF(H171&gt;0,"Yes",IF(H171&lt;0,"No","Tie"))</x:f>
        <x:v>No</x:v>
      </x:c>
    </x:row>
    <x:row r="172">
      <x:c r="A172" t="str">
        <x:v>MICN</x:v>
      </x:c>
      <x:c r="B172" t="str">
        <x:v>traffic</x:v>
      </x:c>
      <x:c r="C172" t="n">
        <x:v>720</x:v>
      </x:c>
      <x:c r="D172" t="str">
        <x:v>COSA-F</x:v>
      </x:c>
      <x:c r="E172" t="str">
        <x:v>Spectral</x:v>
      </x:c>
      <x:c r="F172" s="4" t="n">
        <x:v>0.5341654817263285</x:v>
      </x:c>
      <x:c r="G172" s="4" t="n">
        <x:v>0.5299643079439799</x:v>
      </x:c>
      <x:c r="H172" s="4" t="n">
        <x:f>IF(OR(F172="",G172=""),"",F172-G172)</x:f>
        <x:v>0.004201173782348633</x:v>
      </x:c>
      <x:c r="I172" s="5" t="n">
        <x:f>IFERROR(H172/F172,"")</x:f>
        <x:v>0.007864929363782889</x:v>
      </x:c>
      <x:c r="J172" t="str">
        <x:f>IF(H172&gt;0,"Yes",IF(H172&lt;0,"No","Tie"))</x:f>
        <x:v>Yes</x:v>
      </x:c>
    </x:row>
  </x:sheetData>
  <x:mergeCells>
    <x:mergeCell ref="L1:O1"/>
  </x:mergeCells>
  <x:conditionalFormatting sqref="H2:I172">
    <x:cfRule type="cellIs" dxfId="26" priority="1" operator="greaterThan">
      <x:formula>0</x:formula>
    </x:cfRule>
    <x:cfRule type="cellIs" dxfId="2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6ac46825aa4b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3.329999923706055" hidden="0" customWidth="1"/>
    <x:col min="3" max="3" width="8.890000343322754" hidden="0" customWidth="1"/>
    <x:col min="4" max="4" width="10" hidden="0" customWidth="1"/>
    <x:col min="5" max="5" width="10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1.670000076293945" hidden="0" customWidth="1"/>
    <x:col min="10" max="10" width="8.890000343322754" hidden="0" customWidth="1"/>
    <x:col min="12" max="12" width="16.670000076293945" hidden="0" customWidth="1"/>
    <x:col min="13" max="13" width="11.109999656677246" hidden="0" customWidth="1"/>
  </x:cols>
  <x:sheetData>
    <x:row r="1">
      <x:c r="A1" s="3" t="str">
        <x:v>Model</x:v>
      </x:c>
      <x:c r="B1" s="3" t="str">
        <x:v>Dataset</x:v>
      </x:c>
      <x:c r="C1" s="3" t="str">
        <x:v>Horizon</x:v>
      </x:c>
      <x:c r="D1" s="3" t="str">
        <x:v>From</x:v>
      </x:c>
      <x:c r="E1" s="3" t="str">
        <x:v>To</x:v>
      </x:c>
      <x:c r="F1" s="3" t="str">
        <x:v>From MSE</x:v>
      </x:c>
      <x:c r="G1" s="3" t="str">
        <x:v>To MSE</x:v>
      </x:c>
      <x:c r="H1" s="3" t="str">
        <x:v>Abs Drop</x:v>
      </x:c>
      <x:c r="I1" s="3" t="str">
        <x:v>% Improvement</x:v>
      </x:c>
      <x:c r="J1" s="3" t="str">
        <x:v>Improved?</x:v>
      </x:c>
      <x:c r="L1" s="8" t="str">
        <x:v>Spectral improvement over COSA-P</x:v>
      </x:c>
      <x:c r="M1" s="8"/>
      <x:c r="N1" s="8"/>
      <x:c r="O1" s="8"/>
    </x:row>
    <x:row r="2">
      <x:c r="A2" t="str">
        <x:v>iTransformer</x:v>
      </x:c>
      <x:c r="B2" t="str">
        <x:v>ETTh1</x:v>
      </x:c>
      <x:c r="C2" t="n">
        <x:v>96</x:v>
      </x:c>
      <x:c r="D2" t="str">
        <x:v>COSA-P</x:v>
      </x:c>
      <x:c r="E2" t="str">
        <x:v>Spectral</x:v>
      </x:c>
      <x:c r="F2" s="4" t="n">
        <x:v>0.4310751756032308</x:v>
      </x:c>
      <x:c r="G2" s="4" t="n">
        <x:v>0.41234559814135235</x:v>
      </x:c>
      <x:c r="H2" s="4" t="n">
        <x:f>IF(OR(F2="",G2=""),"",F2-G2)</x:f>
        <x:v>0.01872957746187842</x:v>
      </x:c>
      <x:c r="I2" s="5" t="n">
        <x:f>IFERROR(H2/F2,"")</x:f>
        <x:v>0.04344851784997579</x:v>
      </x:c>
      <x:c r="J2" t="str">
        <x:f>IF(H2&gt;0,"Yes",IF(H2&lt;0,"No","Tie"))</x:f>
        <x:v>Yes</x:v>
      </x:c>
      <x:c r="L2" t="str">
        <x:v>Metric</x:v>
      </x:c>
      <x:c r="M2" t="str">
        <x:v>Value</x:v>
      </x:c>
      <x:c r="N2"/>
      <x:c r="O2"/>
    </x:row>
    <x:row r="3">
      <x:c r="A3" t="str">
        <x:v>iTransformer</x:v>
      </x:c>
      <x:c r="B3" t="str">
        <x:v>ETTh1</x:v>
      </x:c>
      <x:c r="C3" t="n">
        <x:v>192</x:v>
      </x:c>
      <x:c r="D3" t="str">
        <x:v>COSA-P</x:v>
      </x:c>
      <x:c r="E3" t="str">
        <x:v>Spectral</x:v>
      </x:c>
      <x:c r="F3" s="4" t="n">
        <x:v>0.4975973864396413</x:v>
      </x:c>
      <x:c r="G3" s="4" t="n">
        <x:v>0.4798216025034587</x:v>
      </x:c>
      <x:c r="H3" s="4" t="n">
        <x:f>IF(OR(F3="",G3=""),"",F3-G3)</x:f>
        <x:v>0.01777578393618262</x:v>
      </x:c>
      <x:c r="I3" s="5" t="n">
        <x:f>IFERROR(H3/F3,"")</x:f>
        <x:v>0.03572322608719897</x:v>
      </x:c>
      <x:c r="J3" t="str">
        <x:f>IF(H3&gt;0,"Yes",IF(H3&lt;0,"No","Tie"))</x:f>
        <x:v>Yes</x:v>
      </x:c>
      <x:c r="L3" t="str">
        <x:v>N</x:v>
      </x:c>
      <x:c r="M3" s="6" t="n">
        <x:f>COUNT(H2:H172)</x:f>
        <x:v>171</x:v>
      </x:c>
      <x:c r="N3"/>
      <x:c r="O3"/>
    </x:row>
    <x:row r="4">
      <x:c r="A4" t="str">
        <x:v>iTransformer</x:v>
      </x:c>
      <x:c r="B4" t="str">
        <x:v>ETTh1</x:v>
      </x:c>
      <x:c r="C4" t="n">
        <x:v>336</x:v>
      </x:c>
      <x:c r="D4" t="str">
        <x:v>COSA-P</x:v>
      </x:c>
      <x:c r="E4" t="str">
        <x:v>Spectral</x:v>
      </x:c>
      <x:c r="F4" s="4" t="n">
        <x:v>0.5291003783543905</x:v>
      </x:c>
      <x:c r="G4" s="4" t="n">
        <x:v>0.5428623755772909</x:v>
      </x:c>
      <x:c r="H4" s="4" t="n">
        <x:f>IF(OR(F4="",G4=""),"",F4-G4)</x:f>
        <x:v>-0.01376199722290039</x:v>
      </x:c>
      <x:c r="I4" s="5" t="n">
        <x:f>IFERROR(H4/F4,"")</x:f>
        <x:v>-0.02601018216184799</x:v>
      </x:c>
      <x:c r="J4" t="str">
        <x:f>IF(H4&gt;0,"Yes",IF(H4&lt;0,"No","Tie"))</x:f>
        <x:v>No</x:v>
      </x:c>
      <x:c r="L4" t="str">
        <x:v>Avg % Improvement</x:v>
      </x:c>
      <x:c r="M4" s="5" t="n">
        <x:f>AVERAGE(I2:I172)</x:f>
        <x:v>0.0746768047500452</x:v>
      </x:c>
      <x:c r="N4"/>
      <x:c r="O4"/>
    </x:row>
    <x:row r="5">
      <x:c r="A5" t="str">
        <x:v>iTransformer</x:v>
      </x:c>
      <x:c r="B5" t="str">
        <x:v>ETTh1</x:v>
      </x:c>
      <x:c r="C5" t="n">
        <x:v>720</x:v>
      </x:c>
      <x:c r="D5" t="str">
        <x:v>COSA-P</x:v>
      </x:c>
      <x:c r="E5" t="str">
        <x:v>Spectral</x:v>
      </x:c>
      <x:c r="F5" s="4" t="n">
        <x:v>0.5776919523874918</x:v>
      </x:c>
      <x:c r="G5" s="4" t="n">
        <x:v>0.5789849956830343</x:v>
      </x:c>
      <x:c r="H5" s="4" t="n">
        <x:f>IF(OR(F5="",G5=""),"",F5-G5)</x:f>
        <x:v>-0.001293043295542473</x:v>
      </x:c>
      <x:c r="I5" s="5" t="n">
        <x:f>IFERROR(H5/F5,"")</x:f>
        <x:v>-0.0022382920347056405</x:v>
      </x:c>
      <x:c r="J5" t="str">
        <x:f>IF(H5&gt;0,"Yes",IF(H5&lt;0,"No","Tie"))</x:f>
        <x:v>No</x:v>
      </x:c>
      <x:c r="L5" t="str">
        <x:v>Win Rate</x:v>
      </x:c>
      <x:c r="M5" s="5" t="n">
        <x:f>COUNTIF(H2:H172,"&gt;0")/M3</x:f>
        <x:v>0.7426900584795322</x:v>
      </x:c>
      <x:c r="N5"/>
      <x:c r="O5"/>
    </x:row>
    <x:row r="6">
      <x:c r="A6" t="str">
        <x:v>iTransformer</x:v>
      </x:c>
      <x:c r="B6" t="str">
        <x:v>ETTh2</x:v>
      </x:c>
      <x:c r="C6" t="n">
        <x:v>96</x:v>
      </x:c>
      <x:c r="D6" t="str">
        <x:v>COSA-P</x:v>
      </x:c>
      <x:c r="E6" t="str">
        <x:v>Spectral</x:v>
      </x:c>
      <x:c r="F6" s="4" t="n">
        <x:v>0.19362633923689523</x:v>
      </x:c>
      <x:c r="G6" s="4" t="n">
        <x:v>0.19697168469429016</x:v>
      </x:c>
      <x:c r="H6" s="4" t="n">
        <x:f>IF(OR(F6="",G6=""),"",F6-G6)</x:f>
        <x:v>-0.003345345457394927</x:v>
      </x:c>
      <x:c r="I6" s="5" t="n">
        <x:f>IFERROR(H6/F6,"")</x:f>
        <x:v>-0.017277326372947696</x:v>
      </x:c>
      <x:c r="J6" t="str">
        <x:f>IF(H6&gt;0,"Yes",IF(H6&lt;0,"No","Tie"))</x:f>
        <x:v>No</x:v>
      </x:c>
    </x:row>
    <x:row r="7">
      <x:c r="A7" t="str">
        <x:v>iTransformer</x:v>
      </x:c>
      <x:c r="B7" t="str">
        <x:v>ETTh2</x:v>
      </x:c>
      <x:c r="C7" t="n">
        <x:v>192</x:v>
      </x:c>
      <x:c r="D7" t="str">
        <x:v>COSA-P</x:v>
      </x:c>
      <x:c r="E7" t="str">
        <x:v>Spectral</x:v>
      </x:c>
      <x:c r="F7" s="4" t="n">
        <x:v>0.24823777377605438</x:v>
      </x:c>
      <x:c r="G7" s="4" t="n">
        <x:v>0.2499858389298121</x:v>
      </x:c>
      <x:c r="H7" s="4" t="n">
        <x:f>IF(OR(F7="",G7=""),"",F7-G7)</x:f>
        <x:v>-0.0017480651537577219</x:v>
      </x:c>
      <x:c r="I7" s="5" t="n">
        <x:f>IFERROR(H7/F7,"")</x:f>
        <x:v>-0.007041898286337051</x:v>
      </x:c>
      <x:c r="J7" t="str">
        <x:f>IF(H7&gt;0,"Yes",IF(H7&lt;0,"No","Tie"))</x:f>
        <x:v>No</x:v>
      </x:c>
    </x:row>
    <x:row r="8">
      <x:c r="A8" t="str">
        <x:v>iTransformer</x:v>
      </x:c>
      <x:c r="B8" t="str">
        <x:v>ETTh2</x:v>
      </x:c>
      <x:c r="C8" t="n">
        <x:v>336</x:v>
      </x:c>
      <x:c r="D8" t="str">
        <x:v>COSA-P</x:v>
      </x:c>
      <x:c r="E8" t="str">
        <x:v>Spectral</x:v>
      </x:c>
      <x:c r="F8" s="4" t="n">
        <x:v>0.2628502945105235</x:v>
      </x:c>
      <x:c r="G8" s="4" t="n">
        <x:v>0.2626849114894867</x:v>
      </x:c>
      <x:c r="H8" s="4" t="n">
        <x:f>IF(OR(F8="",G8=""),"",F8-G8)</x:f>
        <x:v>0.00016538302103680236</x:v>
      </x:c>
      <x:c r="I8" s="5" t="n">
        <x:f>IFERROR(H8/F8,"")</x:f>
        <x:v>0.0006291909291742531</x:v>
      </x:c>
      <x:c r="J8" t="str">
        <x:f>IF(H8&gt;0,"Yes",IF(H8&lt;0,"No","Tie"))</x:f>
        <x:v>Yes</x:v>
      </x:c>
    </x:row>
    <x:row r="9">
      <x:c r="A9" t="str">
        <x:v>iTransformer</x:v>
      </x:c>
      <x:c r="B9" t="str">
        <x:v>ETTh2</x:v>
      </x:c>
      <x:c r="C9" t="n">
        <x:v>720</x:v>
      </x:c>
      <x:c r="D9" t="str">
        <x:v>COSA-P</x:v>
      </x:c>
      <x:c r="E9" t="str">
        <x:v>Spectral</x:v>
      </x:c>
      <x:c r="F9" s="4" t="n">
        <x:v>0.2868092656135559</x:v>
      </x:c>
      <x:c r="G9" s="4" t="n">
        <x:v>0.2872478167215983</x:v>
      </x:c>
      <x:c r="H9" s="4" t="n">
        <x:f>IF(OR(F9="",G9=""),"",F9-G9)</x:f>
        <x:v>-0.0004385511080424176</x:v>
      </x:c>
      <x:c r="I9" s="5" t="n">
        <x:f>IFERROR(H9/F9,"")</x:f>
        <x:v>-0.0015290688294335554</x:v>
      </x:c>
      <x:c r="J9" t="str">
        <x:f>IF(H9&gt;0,"Yes",IF(H9&lt;0,"No","Tie"))</x:f>
        <x:v>No</x:v>
      </x:c>
    </x:row>
    <x:row r="10">
      <x:c r="A10" t="str">
        <x:v>iTransformer</x:v>
      </x:c>
      <x:c r="B10" t="str">
        <x:v>ETTm1</x:v>
      </x:c>
      <x:c r="C10" t="n">
        <x:v>96</x:v>
      </x:c>
      <x:c r="D10" t="str">
        <x:v>COSA-P</x:v>
      </x:c>
      <x:c r="E10" t="str">
        <x:v>Spectral</x:v>
      </x:c>
      <x:c r="F10" s="4" t="n">
        <x:v>0.35371846954027814</x:v>
      </x:c>
      <x:c r="G10" s="4" t="n">
        <x:v>0.3443148334821065</x:v>
      </x:c>
      <x:c r="H10" s="4" t="n">
        <x:f>IF(OR(F10="",G10=""),"",F10-G10)</x:f>
        <x:v>0.009403636058171627</x:v>
      </x:c>
      <x:c r="I10" s="5" t="n">
        <x:f>IFERROR(H10/F10,"")</x:f>
        <x:v>0.02658508635524001</x:v>
      </x:c>
      <x:c r="J10" t="str">
        <x:f>IF(H10&gt;0,"Yes",IF(H10&lt;0,"No","Tie"))</x:f>
        <x:v>Yes</x:v>
      </x:c>
    </x:row>
    <x:row r="11">
      <x:c r="A11" t="str">
        <x:v>iTransformer</x:v>
      </x:c>
      <x:c r="B11" t="str">
        <x:v>ETTm1</x:v>
      </x:c>
      <x:c r="C11" t="n">
        <x:v>192</x:v>
      </x:c>
      <x:c r="D11" t="str">
        <x:v>COSA-P</x:v>
      </x:c>
      <x:c r="E11" t="str">
        <x:v>Spectral</x:v>
      </x:c>
      <x:c r="F11" s="4" t="n">
        <x:v>0.41644007960955304</x:v>
      </x:c>
      <x:c r="G11" s="4" t="n">
        <x:v>0.4056560794512431</x:v>
      </x:c>
      <x:c r="H11" s="4" t="n">
        <x:f>IF(OR(F11="",G11=""),"",F11-G11)</x:f>
        <x:v>0.010784000158309937</x:v>
      </x:c>
      <x:c r="I11" s="5" t="n">
        <x:f>IFERROR(H11/F11,"")</x:f>
        <x:v>0.0258956826836188</x:v>
      </x:c>
      <x:c r="J11" t="str">
        <x:f>IF(H11&gt;0,"Yes",IF(H11&lt;0,"No","Tie"))</x:f>
        <x:v>Yes</x:v>
      </x:c>
    </x:row>
    <x:row r="12">
      <x:c r="A12" t="str">
        <x:v>iTransformer</x:v>
      </x:c>
      <x:c r="B12" t="str">
        <x:v>ETTm1</x:v>
      </x:c>
      <x:c r="C12" t="n">
        <x:v>336</x:v>
      </x:c>
      <x:c r="D12" t="str">
        <x:v>COSA-P</x:v>
      </x:c>
      <x:c r="E12" t="str">
        <x:v>Spectral</x:v>
      </x:c>
      <x:c r="F12" s="4" t="n">
        <x:v>0.49512170751889545</x:v>
      </x:c>
      <x:c r="G12" s="4" t="n">
        <x:v>0.4609619081020355</x:v>
      </x:c>
      <x:c r="H12" s="4" t="n">
        <x:f>IF(OR(F12="",G12=""),"",F12-G12)</x:f>
        <x:v>0.034159799416859926</x:v>
      </x:c>
      <x:c r="I12" s="5" t="n">
        <x:f>IFERROR(H12/F12,"")</x:f>
        <x:v>0.06899273228806328</x:v>
      </x:c>
      <x:c r="J12" t="str">
        <x:f>IF(H12&gt;0,"Yes",IF(H12&lt;0,"No","Tie"))</x:f>
        <x:v>Yes</x:v>
      </x:c>
    </x:row>
    <x:row r="13">
      <x:c r="A13" t="str">
        <x:v>iTransformer</x:v>
      </x:c>
      <x:c r="B13" t="str">
        <x:v>ETTm1</x:v>
      </x:c>
      <x:c r="C13" t="n">
        <x:v>720</x:v>
      </x:c>
      <x:c r="D13" t="str">
        <x:v>COSA-P</x:v>
      </x:c>
      <x:c r="E13" t="str">
        <x:v>Spectral</x:v>
      </x:c>
      <x:c r="F13" s="4" t="n">
        <x:v>0.5885899066925049</x:v>
      </x:c>
      <x:c r="G13" s="4" t="n">
        <x:v>0.5031796793142954</x:v>
      </x:c>
      <x:c r="H13" s="4" t="n">
        <x:f>IF(OR(F13="",G13=""),"",F13-G13)</x:f>
        <x:v>0.08541022737820947</x:v>
      </x:c>
      <x:c r="I13" s="5" t="n">
        <x:f>IFERROR(H13/F13,"")</x:f>
        <x:v>0.14510990828599116</x:v>
      </x:c>
      <x:c r="J13" t="str">
        <x:f>IF(H13&gt;0,"Yes",IF(H13&lt;0,"No","Tie"))</x:f>
        <x:v>Yes</x:v>
      </x:c>
    </x:row>
    <x:row r="14">
      <x:c r="A14" t="str">
        <x:v>iTransformer</x:v>
      </x:c>
      <x:c r="B14" t="str">
        <x:v>ETTm2</x:v>
      </x:c>
      <x:c r="C14" t="n">
        <x:v>96</x:v>
      </x:c>
      <x:c r="D14" t="str">
        <x:v>COSA-P</x:v>
      </x:c>
      <x:c r="E14" t="str">
        <x:v>Spectral</x:v>
      </x:c>
      <x:c r="F14" s="4" t="n">
        <x:v>0.12630697091420492</x:v>
      </x:c>
      <x:c r="G14" s="4" t="n">
        <x:v>0.1295243352651596</x:v>
      </x:c>
      <x:c r="H14" s="4" t="n">
        <x:f>IF(OR(F14="",G14=""),"",F14-G14)</x:f>
        <x:v>-0.0032173643509546823</x:v>
      </x:c>
      <x:c r="I14" s="5" t="n">
        <x:f>IFERROR(H14/F14,"")</x:f>
        <x:v>-0.025472579444091842</x:v>
      </x:c>
      <x:c r="J14" t="str">
        <x:f>IF(H14&gt;0,"Yes",IF(H14&lt;0,"No","Tie"))</x:f>
        <x:v>No</x:v>
      </x:c>
    </x:row>
    <x:row r="15">
      <x:c r="A15" t="str">
        <x:v>iTransformer</x:v>
      </x:c>
      <x:c r="B15" t="str">
        <x:v>ETTm2</x:v>
      </x:c>
      <x:c r="C15" t="n">
        <x:v>192</x:v>
      </x:c>
      <x:c r="D15" t="str">
        <x:v>COSA-P</x:v>
      </x:c>
      <x:c r="E15" t="str">
        <x:v>Spectral</x:v>
      </x:c>
      <x:c r="F15" s="4" t="n">
        <x:v>0.16692059735457102</x:v>
      </x:c>
      <x:c r="G15" s="4" t="n">
        <x:v>0.17523622512817383</x:v>
      </x:c>
      <x:c r="H15" s="4" t="n">
        <x:f>IF(OR(F15="",G15=""),"",F15-G15)</x:f>
        <x:v>-0.008315627773602813</x:v>
      </x:c>
      <x:c r="I15" s="5" t="n">
        <x:f>IFERROR(H15/F15,"")</x:f>
        <x:v>-0.04981786493334218</x:v>
      </x:c>
      <x:c r="J15" t="str">
        <x:f>IF(H15&gt;0,"Yes",IF(H15&lt;0,"No","Tie"))</x:f>
        <x:v>No</x:v>
      </x:c>
    </x:row>
    <x:row r="16">
      <x:c r="A16" t="str">
        <x:v>iTransformer</x:v>
      </x:c>
      <x:c r="B16" t="str">
        <x:v>ETTm2</x:v>
      </x:c>
      <x:c r="C16" t="n">
        <x:v>336</x:v>
      </x:c>
      <x:c r="D16" t="str">
        <x:v>COSA-P</x:v>
      </x:c>
      <x:c r="E16" t="str">
        <x:v>Spectral</x:v>
      </x:c>
      <x:c r="F16" s="4" t="n">
        <x:v>0.20988498628139496</x:v>
      </x:c>
      <x:c r="G16" s="4" t="n">
        <x:v>0.19304195046424866</x:v>
      </x:c>
      <x:c r="H16" s="4" t="n">
        <x:f>IF(OR(F16="",G16=""),"",F16-G16)</x:f>
        <x:v>0.0168430358171463</x:v>
      </x:c>
      <x:c r="I16" s="5" t="n">
        <x:f>IFERROR(H16/F16,"")</x:f>
        <x:v>0.08024888352216232</x:v>
      </x:c>
      <x:c r="J16" t="str">
        <x:f>IF(H16&gt;0,"Yes",IF(H16&lt;0,"No","Tie"))</x:f>
        <x:v>Yes</x:v>
      </x:c>
    </x:row>
    <x:row r="17">
      <x:c r="A17" t="str">
        <x:v>iTransformer</x:v>
      </x:c>
      <x:c r="B17" t="str">
        <x:v>ETTm2</x:v>
      </x:c>
      <x:c r="C17" t="n">
        <x:v>720</x:v>
      </x:c>
      <x:c r="D17" t="str">
        <x:v>COSA-P</x:v>
      </x:c>
      <x:c r="E17" t="str">
        <x:v>Spectral</x:v>
      </x:c>
      <x:c r="F17" s="4" t="n">
        <x:v>0.2634797195593516</x:v>
      </x:c>
      <x:c r="G17" s="4" t="n">
        <x:v>0.2019137442111969</x:v>
      </x:c>
      <x:c r="H17" s="4" t="n">
        <x:f>IF(OR(F17="",G17=""),"",F17-G17)</x:f>
        <x:v>0.06156597534815472</x:v>
      </x:c>
      <x:c r="I17" s="5" t="n">
        <x:f>IFERROR(H17/F17,"")</x:f>
        <x:v>0.23366494943564842</x:v>
      </x:c>
      <x:c r="J17" t="str">
        <x:f>IF(H17&gt;0,"Yes",IF(H17&lt;0,"No","Tie"))</x:f>
        <x:v>Yes</x:v>
      </x:c>
    </x:row>
    <x:row r="18">
      <x:c r="A18" t="str">
        <x:v>iTransformer</x:v>
      </x:c>
      <x:c r="B18" t="str">
        <x:v>Exchange Rate</x:v>
      </x:c>
      <x:c r="C18" t="n">
        <x:v>96</x:v>
      </x:c>
      <x:c r="D18" t="str">
        <x:v>COSA-P</x:v>
      </x:c>
      <x:c r="E18" t="str">
        <x:v>Spectral</x:v>
      </x:c>
      <x:c r="F18" s="4" t="n">
        <x:v>0.08865931381781895</x:v>
      </x:c>
      <x:c r="G18" s="4" t="n">
        <x:v>0.09004731724659602</x:v>
      </x:c>
      <x:c r="H18" s="4" t="n">
        <x:f>IF(OR(F18="",G18=""),"",F18-G18)</x:f>
        <x:v>-0.0013880034287770682</x:v>
      </x:c>
      <x:c r="I18" s="5" t="n">
        <x:f>IFERROR(H18/F18,"")</x:f>
        <x:v>-0.01565547226802588</x:v>
      </x:c>
      <x:c r="J18" t="str">
        <x:f>IF(H18&gt;0,"Yes",IF(H18&lt;0,"No","Tie"))</x:f>
        <x:v>No</x:v>
      </x:c>
    </x:row>
    <x:row r="19">
      <x:c r="A19" t="str">
        <x:v>iTransformer</x:v>
      </x:c>
      <x:c r="B19" t="str">
        <x:v>Exchange Rate</x:v>
      </x:c>
      <x:c r="C19" t="n">
        <x:v>192</x:v>
      </x:c>
      <x:c r="D19" t="str">
        <x:v>COSA-P</x:v>
      </x:c>
      <x:c r="E19" t="str">
        <x:v>Spectral</x:v>
      </x:c>
      <x:c r="F19" s="4" t="n">
        <x:v>0.17704390982786813</x:v>
      </x:c>
      <x:c r="G19" s="4" t="n">
        <x:v>0.1684557447830836</x:v>
      </x:c>
      <x:c r="H19" s="4" t="n">
        <x:f>IF(OR(F19="",G19=""),"",F19-G19)</x:f>
        <x:v>0.008588165044784546</x:v>
      </x:c>
      <x:c r="I19" s="5" t="n">
        <x:f>IFERROR(H19/F19,"")</x:f>
        <x:v>0.0485086725272529</x:v>
      </x:c>
      <x:c r="J19" t="str">
        <x:f>IF(H19&gt;0,"Yes",IF(H19&lt;0,"No","Tie"))</x:f>
        <x:v>Yes</x:v>
      </x:c>
    </x:row>
    <x:row r="20">
      <x:c r="A20" t="str">
        <x:v>iTransformer</x:v>
      </x:c>
      <x:c r="B20" t="str">
        <x:v>Exchange Rate</x:v>
      </x:c>
      <x:c r="C20" t="n">
        <x:v>336</x:v>
      </x:c>
      <x:c r="D20" t="str">
        <x:v>COSA-P</x:v>
      </x:c>
      <x:c r="E20" t="str">
        <x:v>Spectral</x:v>
      </x:c>
      <x:c r="F20" s="4" t="n">
        <x:v>0.2801667849222819</x:v>
      </x:c>
      <x:c r="G20" s="4" t="n">
        <x:v>0.2244020253419876</x:v>
      </x:c>
      <x:c r="H20" s="4" t="n">
        <x:f>IF(OR(F20="",G20=""),"",F20-G20)</x:f>
        <x:v>0.05576475958029431</x:v>
      </x:c>
      <x:c r="I20" s="5" t="n">
        <x:f>IFERROR(H20/F20,"")</x:f>
        <x:v>0.1990412946194297</x:v>
      </x:c>
      <x:c r="J20" t="str">
        <x:f>IF(H20&gt;0,"Yes",IF(H20&lt;0,"No","Tie"))</x:f>
        <x:v>Yes</x:v>
      </x:c>
    </x:row>
    <x:row r="21">
      <x:c r="A21" t="str">
        <x:v>iTransformer</x:v>
      </x:c>
      <x:c r="B21" t="str">
        <x:v>Exchange Rate</x:v>
      </x:c>
      <x:c r="C21" t="n">
        <x:v>720</x:v>
      </x:c>
      <x:c r="D21" t="str">
        <x:v>COSA-P</x:v>
      </x:c>
      <x:c r="E21" t="str">
        <x:v>Spectral</x:v>
      </x:c>
      <x:c r="F21" s="4" t="n">
        <x:v>0.5478642582893372</x:v>
      </x:c>
      <x:c r="G21" s="4" t="n">
        <x:v>0.382370521624883</x:v>
      </x:c>
      <x:c r="H21" s="4" t="n">
        <x:f>IF(OR(F21="",G21=""),"",F21-G21)</x:f>
        <x:v>0.16549373666445416</x:v>
      </x:c>
      <x:c r="I21" s="5" t="n">
        <x:f>IFERROR(H21/F21,"")</x:f>
        <x:v>0.3020706938999731</x:v>
      </x:c>
      <x:c r="J21" t="str">
        <x:f>IF(H21&gt;0,"Yes",IF(H21&lt;0,"No","Tie"))</x:f>
        <x:v>Yes</x:v>
      </x:c>
    </x:row>
    <x:row r="22">
      <x:c r="A22" t="str">
        <x:v>iTransformer</x:v>
      </x:c>
      <x:c r="B22" t="str">
        <x:v>weather</x:v>
      </x:c>
      <x:c r="C22" t="n">
        <x:v>96</x:v>
      </x:c>
      <x:c r="D22" t="str">
        <x:v>COSA-P</x:v>
      </x:c>
      <x:c r="E22" t="str">
        <x:v>Spectral</x:v>
      </x:c>
      <x:c r="F22" s="4" t="n">
        <x:v>0.1653933028380076</x:v>
      </x:c>
      <x:c r="G22" s="4" t="n">
        <x:v>0.16370817522207895</x:v>
      </x:c>
      <x:c r="H22" s="4" t="n">
        <x:f>IF(OR(F22="",G22=""),"",F22-G22)</x:f>
        <x:v>0.00168512761592865</x:v>
      </x:c>
      <x:c r="I22" s="5" t="n">
        <x:f>IFERROR(H22/F22,"")</x:f>
        <x:v>0.01018860852896279</x:v>
      </x:c>
      <x:c r="J22" t="str">
        <x:f>IF(H22&gt;0,"Yes",IF(H22&lt;0,"No","Tie"))</x:f>
        <x:v>Yes</x:v>
      </x:c>
    </x:row>
    <x:row r="23">
      <x:c r="A23" t="str">
        <x:v>iTransformer</x:v>
      </x:c>
      <x:c r="B23" t="str">
        <x:v>weather</x:v>
      </x:c>
      <x:c r="C23" t="n">
        <x:v>192</x:v>
      </x:c>
      <x:c r="D23" t="str">
        <x:v>COSA-P</x:v>
      </x:c>
      <x:c r="E23" t="str">
        <x:v>Spectral</x:v>
      </x:c>
      <x:c r="F23" s="4" t="n">
        <x:v>0.23013276358445486</x:v>
      </x:c>
      <x:c r="G23" s="4" t="n">
        <x:v>0.21399196485678354</x:v>
      </x:c>
      <x:c r="H23" s="4" t="n">
        <x:f>IF(OR(F23="",G23=""),"",F23-G23)</x:f>
        <x:v>0.016140798727671324</x:v>
      </x:c>
      <x:c r="I23" s="5" t="n">
        <x:f>IFERROR(H23/F23,"")</x:f>
        <x:v>0.07013690044072286</x:v>
      </x:c>
      <x:c r="J23" t="str">
        <x:f>IF(H23&gt;0,"Yes",IF(H23&lt;0,"No","Tie"))</x:f>
        <x:v>Yes</x:v>
      </x:c>
    </x:row>
    <x:row r="24">
      <x:c r="A24" t="str">
        <x:v>iTransformer</x:v>
      </x:c>
      <x:c r="B24" t="str">
        <x:v>weather</x:v>
      </x:c>
      <x:c r="C24" t="n">
        <x:v>336</x:v>
      </x:c>
      <x:c r="D24" t="str">
        <x:v>COSA-P</x:v>
      </x:c>
      <x:c r="E24" t="str">
        <x:v>Spectral</x:v>
      </x:c>
      <x:c r="F24" s="4" t="n">
        <x:v>0.32673539717992145</x:v>
      </x:c>
      <x:c r="G24" s="4" t="n">
        <x:v>0.2383541315793991</x:v>
      </x:c>
      <x:c r="H24" s="4" t="n">
        <x:f>IF(OR(F24="",G24=""),"",F24-G24)</x:f>
        <x:v>0.08838126560052234</x:v>
      </x:c>
      <x:c r="I24" s="5" t="n">
        <x:f>IFERROR(H24/F24,"")</x:f>
        <x:v>0.2704979820470873</x:v>
      </x:c>
      <x:c r="J24" t="str">
        <x:f>IF(H24&gt;0,"Yes",IF(H24&lt;0,"No","Tie"))</x:f>
        <x:v>Yes</x:v>
      </x:c>
    </x:row>
    <x:row r="25">
      <x:c r="A25" t="str">
        <x:v>iTransformer</x:v>
      </x:c>
      <x:c r="B25" t="str">
        <x:v>weather</x:v>
      </x:c>
      <x:c r="C25" t="n">
        <x:v>720</x:v>
      </x:c>
      <x:c r="D25" t="str">
        <x:v>COSA-P</x:v>
      </x:c>
      <x:c r="E25" t="str">
        <x:v>Spectral</x:v>
      </x:c>
      <x:c r="F25" s="4" t="n">
        <x:v>0.3585677246252696</x:v>
      </x:c>
      <x:c r="G25" s="4" t="n">
        <x:v>0.2243739515542984</x:v>
      </x:c>
      <x:c r="H25" s="4" t="n">
        <x:f>IF(OR(F25="",G25=""),"",F25-G25)</x:f>
        <x:v>0.1341937730709712</x:v>
      </x:c>
      <x:c r="I25" s="5" t="n">
        <x:f>IFERROR(H25/F25,"")</x:f>
        <x:v>0.37424944816551414</x:v>
      </x:c>
      <x:c r="J25" t="str">
        <x:f>IF(H25&gt;0,"Yes",IF(H25&lt;0,"No","Tie"))</x:f>
        <x:v>Yes</x:v>
      </x:c>
    </x:row>
    <x:row r="26">
      <x:c r="A26" t="str">
        <x:v>iTransformer</x:v>
      </x:c>
      <x:c r="B26" t="str">
        <x:v>electricity</x:v>
      </x:c>
      <x:c r="C26" t="n">
        <x:v>96</x:v>
      </x:c>
      <x:c r="D26" t="str">
        <x:v>COSA-P</x:v>
      </x:c>
      <x:c r="E26" t="str">
        <x:v>Spectral</x:v>
      </x:c>
      <x:c r="F26" s="4" t="n">
        <x:v>0.15986650685469309</x:v>
      </x:c>
      <x:c r="G26" s="4" t="n">
        <x:v>0.15992635985215506</x:v>
      </x:c>
      <x:c r="H26" s="4" t="n">
        <x:f>IF(OR(F26="",G26=""),"",F26-G26)</x:f>
        <x:v>-0.000059852997461973256</x:v>
      </x:c>
      <x:c r="I26" s="5" t="n">
        <x:f>IFERROR(H26/F26,"")</x:f>
        <x:v>-0.0003743936027599279</x:v>
      </x:c>
      <x:c r="J26" t="str">
        <x:f>IF(H26&gt;0,"Yes",IF(H26&lt;0,"No","Tie"))</x:f>
        <x:v>No</x:v>
      </x:c>
    </x:row>
    <x:row r="27">
      <x:c r="A27" t="str">
        <x:v>iTransformer</x:v>
      </x:c>
      <x:c r="B27" t="str">
        <x:v>electricity</x:v>
      </x:c>
      <x:c r="C27" t="n">
        <x:v>192</x:v>
      </x:c>
      <x:c r="D27" t="str">
        <x:v>COSA-P</x:v>
      </x:c>
      <x:c r="E27" t="str">
        <x:v>Spectral</x:v>
      </x:c>
      <x:c r="F27" s="4" t="n">
        <x:v>0.17080611983935037</x:v>
      </x:c>
      <x:c r="G27" s="4" t="n">
        <x:v>0.17074458301067352</x:v>
      </x:c>
      <x:c r="H27" s="4" t="n">
        <x:f>IF(OR(F27="",G27=""),"",F27-G27)</x:f>
        <x:v>0.00006153682867685029</x:v>
      </x:c>
      <x:c r="I27" s="5" t="n">
        <x:f>IFERROR(H27/F27,"")</x:f>
        <x:v>0.00036027297344338717</x:v>
      </x:c>
      <x:c r="J27" t="str">
        <x:f>IF(H27&gt;0,"Yes",IF(H27&lt;0,"No","Tie"))</x:f>
        <x:v>Yes</x:v>
      </x:c>
    </x:row>
    <x:row r="28">
      <x:c r="A28" t="str">
        <x:v>iTransformer</x:v>
      </x:c>
      <x:c r="B28" t="str">
        <x:v>electricity</x:v>
      </x:c>
      <x:c r="C28" t="n">
        <x:v>336</x:v>
      </x:c>
      <x:c r="D28" t="str">
        <x:v>COSA-P</x:v>
      </x:c>
      <x:c r="E28" t="str">
        <x:v>Spectral</x:v>
      </x:c>
      <x:c r="F28" s="4" t="n">
        <x:v>0.1789950132369995</x:v>
      </x:c>
      <x:c r="G28" s="4" t="n">
        <x:v>0.17861836155255637</x:v>
      </x:c>
      <x:c r="H28" s="4" t="n">
        <x:f>IF(OR(F28="",G28=""),"",F28-G28)</x:f>
        <x:v>0.00037665168444314667</x:v>
      </x:c>
      <x:c r="I28" s="5" t="n">
        <x:f>IFERROR(H28/F28,"")</x:f>
        <x:v>0.0021042579769774846</x:v>
      </x:c>
      <x:c r="J28" t="str">
        <x:f>IF(H28&gt;0,"Yes",IF(H28&lt;0,"No","Tie"))</x:f>
        <x:v>Yes</x:v>
      </x:c>
    </x:row>
    <x:row r="29">
      <x:c r="A29" t="str">
        <x:v>iTransformer</x:v>
      </x:c>
      <x:c r="B29" t="str">
        <x:v>electricity</x:v>
      </x:c>
      <x:c r="C29" t="n">
        <x:v>720</x:v>
      </x:c>
      <x:c r="D29" t="str">
        <x:v>COSA-P</x:v>
      </x:c>
      <x:c r="E29" t="str">
        <x:v>Spectral</x:v>
      </x:c>
      <x:c r="F29" s="4" t="n">
        <x:v>0.2046805570522944</x:v>
      </x:c>
      <x:c r="G29" s="4" t="n">
        <x:v>0.1949946234623591</x:v>
      </x:c>
      <x:c r="H29" s="4" t="n">
        <x:f>IF(OR(F29="",G29=""),"",F29-G29)</x:f>
        <x:v>0.009685933589935303</x:v>
      </x:c>
      <x:c r="I29" s="5" t="n">
        <x:f>IFERROR(H29/F29,"")</x:f>
        <x:v>0.04732219674124014</x:v>
      </x:c>
      <x:c r="J29" t="str">
        <x:f>IF(H29&gt;0,"Yes",IF(H29&lt;0,"No","Tie"))</x:f>
        <x:v>Yes</x:v>
      </x:c>
    </x:row>
    <x:row r="30">
      <x:c r="A30" t="str">
        <x:v>DLinear</x:v>
      </x:c>
      <x:c r="B30" t="str">
        <x:v>ETTh1</x:v>
      </x:c>
      <x:c r="C30" t="n">
        <x:v>96</x:v>
      </x:c>
      <x:c r="D30" t="str">
        <x:v>COSA-P</x:v>
      </x:c>
      <x:c r="E30" t="str">
        <x:v>Spectral</x:v>
      </x:c>
      <x:c r="F30" s="4" t="n">
        <x:v>0.452557772397995</x:v>
      </x:c>
      <x:c r="G30" s="4" t="n">
        <x:v>0.4289526492357254</x:v>
      </x:c>
      <x:c r="H30" s="4" t="n">
        <x:f>IF(OR(F30="",G30=""),"",F30-G30)</x:f>
        <x:v>0.023605123162269592</x:v>
      </x:c>
      <x:c r="I30" s="5" t="n">
        <x:f>IFERROR(H30/F30,"")</x:f>
        <x:v>0.05215935865423703</x:v>
      </x:c>
      <x:c r="J30" t="str">
        <x:f>IF(H30&gt;0,"Yes",IF(H30&lt;0,"No","Tie"))</x:f>
        <x:v>Yes</x:v>
      </x:c>
    </x:row>
    <x:row r="31">
      <x:c r="A31" t="str">
        <x:v>DLinear</x:v>
      </x:c>
      <x:c r="B31" t="str">
        <x:v>ETTh1</x:v>
      </x:c>
      <x:c r="C31" t="n">
        <x:v>192</x:v>
      </x:c>
      <x:c r="D31" t="str">
        <x:v>COSA-P</x:v>
      </x:c>
      <x:c r="E31" t="str">
        <x:v>Spectral</x:v>
      </x:c>
      <x:c r="F31" s="4" t="n">
        <x:v>0.5242875516414642</x:v>
      </x:c>
      <x:c r="G31" s="4" t="n">
        <x:v>0.5014365613460541</x:v>
      </x:c>
      <x:c r="H31" s="4" t="n">
        <x:f>IF(OR(F31="",G31=""),"",F31-G31)</x:f>
        <x:v>0.022850990295410156</x:v>
      </x:c>
      <x:c r="I31" s="5" t="n">
        <x:f>IFERROR(H31/F31,"")</x:f>
        <x:v>0.043584842371075176</x:v>
      </x:c>
      <x:c r="J31" t="str">
        <x:f>IF(H31&gt;0,"Yes",IF(H31&lt;0,"No","Tie"))</x:f>
        <x:v>Yes</x:v>
      </x:c>
    </x:row>
    <x:row r="32">
      <x:c r="A32" t="str">
        <x:v>DLinear</x:v>
      </x:c>
      <x:c r="B32" t="str">
        <x:v>ETTh1</x:v>
      </x:c>
      <x:c r="C32" t="n">
        <x:v>336</x:v>
      </x:c>
      <x:c r="D32" t="str">
        <x:v>COSA-P</x:v>
      </x:c>
      <x:c r="E32" t="str">
        <x:v>Spectral</x:v>
      </x:c>
      <x:c r="F32" s="4" t="n">
        <x:v>0.5335347056388855</x:v>
      </x:c>
      <x:c r="G32" s="4" t="n">
        <x:v>0.5466431677341461</x:v>
      </x:c>
      <x:c r="H32" s="4" t="n">
        <x:f>IF(OR(F32="",G32=""),"",F32-G32)</x:f>
        <x:v>-0.01310846209526062</x:v>
      </x:c>
      <x:c r="I32" s="5" t="n">
        <x:f>IFERROR(H32/F32,"")</x:f>
        <x:v>-0.02456908980187856</x:v>
      </x:c>
      <x:c r="J32" t="str">
        <x:f>IF(H32&gt;0,"Yes",IF(H32&lt;0,"No","Tie"))</x:f>
        <x:v>No</x:v>
      </x:c>
    </x:row>
    <x:row r="33">
      <x:c r="A33" t="str">
        <x:v>DLinear</x:v>
      </x:c>
      <x:c r="B33" t="str">
        <x:v>ETTh1</x:v>
      </x:c>
      <x:c r="C33" t="n">
        <x:v>720</x:v>
      </x:c>
      <x:c r="D33" t="str">
        <x:v>COSA-P</x:v>
      </x:c>
      <x:c r="E33" t="str">
        <x:v>Spectral</x:v>
      </x:c>
      <x:c r="F33" s="4" t="n">
        <x:v>0.5919471085071564</x:v>
      </x:c>
      <x:c r="G33" s="4" t="n">
        <x:v>0.5779048502445221</x:v>
      </x:c>
      <x:c r="H33" s="4" t="n">
        <x:f>IF(OR(F33="",G33=""),"",F33-G33)</x:f>
        <x:v>0.014042258262634277</x:v>
      </x:c>
      <x:c r="I33" s="5" t="n">
        <x:f>IFERROR(H33/F33,"")</x:f>
        <x:v>0.023722150274621222</x:v>
      </x:c>
      <x:c r="J33" t="str">
        <x:f>IF(H33&gt;0,"Yes",IF(H33&lt;0,"No","Tie"))</x:f>
        <x:v>Yes</x:v>
      </x:c>
    </x:row>
    <x:row r="34">
      <x:c r="A34" t="str">
        <x:v>DLinear</x:v>
      </x:c>
      <x:c r="B34" t="str">
        <x:v>ETTh2</x:v>
      </x:c>
      <x:c r="C34" t="n">
        <x:v>96</x:v>
      </x:c>
      <x:c r="D34" t="str">
        <x:v>COSA-P</x:v>
      </x:c>
      <x:c r="E34" t="str">
        <x:v>Spectral</x:v>
      </x:c>
      <x:c r="F34" s="4" t="n">
        <x:v>0.17882581055164337</x:v>
      </x:c>
      <x:c r="G34" s="4" t="n">
        <x:v>0.17634927481412888</x:v>
      </x:c>
      <x:c r="H34" s="4" t="n">
        <x:f>IF(OR(F34="",G34=""),"",F34-G34)</x:f>
        <x:v>0.002476535737514496</x:v>
      </x:c>
      <x:c r="I34" s="5" t="n">
        <x:f>IFERROR(H34/F34,"")</x:f>
        <x:v>0.013848871870759918</x:v>
      </x:c>
      <x:c r="J34" t="str">
        <x:f>IF(H34&gt;0,"Yes",IF(H34&lt;0,"No","Tie"))</x:f>
        <x:v>Yes</x:v>
      </x:c>
    </x:row>
    <x:row r="35">
      <x:c r="A35" t="str">
        <x:v>DLinear</x:v>
      </x:c>
      <x:c r="B35" t="str">
        <x:v>ETTh2</x:v>
      </x:c>
      <x:c r="C35" t="n">
        <x:v>192</x:v>
      </x:c>
      <x:c r="D35" t="str">
        <x:v>COSA-P</x:v>
      </x:c>
      <x:c r="E35" t="str">
        <x:v>Spectral</x:v>
      </x:c>
      <x:c r="F35" s="4" t="n">
        <x:v>0.2314051315188408</x:v>
      </x:c>
      <x:c r="G35" s="4" t="n">
        <x:v>0.22928327322006226</x:v>
      </x:c>
      <x:c r="H35" s="4" t="n">
        <x:f>IF(OR(F35="",G35=""),"",F35-G35)</x:f>
        <x:v>0.002121858298778534</x:v>
      </x:c>
      <x:c r="I35" s="5" t="n">
        <x:f>IFERROR(H35/F35,"")</x:f>
        <x:v>0.009169452228010657</x:v>
      </x:c>
      <x:c r="J35" t="str">
        <x:f>IF(H35&gt;0,"Yes",IF(H35&lt;0,"No","Tie"))</x:f>
        <x:v>Yes</x:v>
      </x:c>
    </x:row>
    <x:row r="36">
      <x:c r="A36" t="str">
        <x:v>DLinear</x:v>
      </x:c>
      <x:c r="B36" t="str">
        <x:v>ETTh2</x:v>
      </x:c>
      <x:c r="C36" t="n">
        <x:v>336</x:v>
      </x:c>
      <x:c r="D36" t="str">
        <x:v>COSA-P</x:v>
      </x:c>
      <x:c r="E36" t="str">
        <x:v>Spectral</x:v>
      </x:c>
      <x:c r="F36" s="4" t="n">
        <x:v>0.25274820625782013</x:v>
      </x:c>
      <x:c r="G36" s="4" t="n">
        <x:v>0.24613437056541443</x:v>
      </x:c>
      <x:c r="H36" s="4" t="n">
        <x:f>IF(OR(F36="",G36=""),"",F36-G36)</x:f>
        <x:v>0.006613835692405701</x:v>
      </x:c>
      <x:c r="I36" s="5" t="n">
        <x:f>IFERROR(H36/F36,"")</x:f>
        <x:v>0.0261676859762128</x:v>
      </x:c>
      <x:c r="J36" t="str">
        <x:f>IF(H36&gt;0,"Yes",IF(H36&lt;0,"No","Tie"))</x:f>
        <x:v>Yes</x:v>
      </x:c>
    </x:row>
    <x:row r="37">
      <x:c r="A37" t="str">
        <x:v>DLinear</x:v>
      </x:c>
      <x:c r="B37" t="str">
        <x:v>ETTh2</x:v>
      </x:c>
      <x:c r="C37" t="n">
        <x:v>720</x:v>
      </x:c>
      <x:c r="D37" t="str">
        <x:v>COSA-P</x:v>
      </x:c>
      <x:c r="E37" t="str">
        <x:v>Spectral</x:v>
      </x:c>
      <x:c r="F37" s="4" t="n">
        <x:v>0.2760893404483795</x:v>
      </x:c>
      <x:c r="G37" s="4" t="n">
        <x:v>0.2764386087656021</x:v>
      </x:c>
      <x:c r="H37" s="4" t="n">
        <x:f>IF(OR(F37="",G37=""),"",F37-G37)</x:f>
        <x:v>-0.0003492683172225952</x:v>
      </x:c>
      <x:c r="I37" s="5" t="n">
        <x:f>IFERROR(H37/F37,"")</x:f>
        <x:v>-0.001265055422477993</x:v>
      </x:c>
      <x:c r="J37" t="str">
        <x:f>IF(H37&gt;0,"Yes",IF(H37&lt;0,"No","Tie"))</x:f>
        <x:v>No</x:v>
      </x:c>
    </x:row>
    <x:row r="38">
      <x:c r="A38" t="str">
        <x:v>DLinear</x:v>
      </x:c>
      <x:c r="B38" t="str">
        <x:v>ETTm1</x:v>
      </x:c>
      <x:c r="C38" t="n">
        <x:v>96</x:v>
      </x:c>
      <x:c r="D38" t="str">
        <x:v>COSA-P</x:v>
      </x:c>
      <x:c r="E38" t="str">
        <x:v>Spectral</x:v>
      </x:c>
      <x:c r="F38" s="4" t="n">
        <x:v>0.3441988527774811</x:v>
      </x:c>
      <x:c r="G38" s="4" t="n">
        <x:v>0.33328162133693695</x:v>
      </x:c>
      <x:c r="H38" s="4" t="n">
        <x:f>IF(OR(F38="",G38=""),"",F38-G38)</x:f>
        <x:v>0.010917231440544128</x:v>
      </x:c>
      <x:c r="I38" s="5" t="n">
        <x:f>IFERROR(H38/F38,"")</x:f>
        <x:v>0.03171780310262085</x:v>
      </x:c>
      <x:c r="J38" t="str">
        <x:f>IF(H38&gt;0,"Yes",IF(H38&lt;0,"No","Tie"))</x:f>
        <x:v>Yes</x:v>
      </x:c>
    </x:row>
    <x:row r="39">
      <x:c r="A39" t="str">
        <x:v>DLinear</x:v>
      </x:c>
      <x:c r="B39" t="str">
        <x:v>ETTm1</x:v>
      </x:c>
      <x:c r="C39" t="n">
        <x:v>192</x:v>
      </x:c>
      <x:c r="D39" t="str">
        <x:v>COSA-P</x:v>
      </x:c>
      <x:c r="E39" t="str">
        <x:v>Spectral</x:v>
      </x:c>
      <x:c r="F39" s="4" t="n">
        <x:v>0.41739726066589355</x:v>
      </x:c>
      <x:c r="G39" s="4" t="n">
        <x:v>0.39872419834136963</x:v>
      </x:c>
      <x:c r="H39" s="4" t="n">
        <x:f>IF(OR(F39="",G39=""),"",F39-G39)</x:f>
        <x:v>0.018673062324523926</x:v>
      </x:c>
      <x:c r="I39" s="5" t="n">
        <x:f>IFERROR(H39/F39,"")</x:f>
        <x:v>0.04473690674139526</x:v>
      </x:c>
      <x:c r="J39" t="str">
        <x:f>IF(H39&gt;0,"Yes",IF(H39&lt;0,"No","Tie"))</x:f>
        <x:v>Yes</x:v>
      </x:c>
    </x:row>
    <x:row r="40">
      <x:c r="A40" t="str">
        <x:v>DLinear</x:v>
      </x:c>
      <x:c r="B40" t="str">
        <x:v>ETTm1</x:v>
      </x:c>
      <x:c r="C40" t="n">
        <x:v>336</x:v>
      </x:c>
      <x:c r="D40" t="str">
        <x:v>COSA-P</x:v>
      </x:c>
      <x:c r="E40" t="str">
        <x:v>Spectral</x:v>
      </x:c>
      <x:c r="F40" s="4" t="n">
        <x:v>0.4979887306690216</x:v>
      </x:c>
      <x:c r="G40" s="4" t="n">
        <x:v>0.45435258746147156</x:v>
      </x:c>
      <x:c r="H40" s="4" t="n">
        <x:f>IF(OR(F40="",G40=""),"",F40-G40)</x:f>
        <x:v>0.04363614320755005</x:v>
      </x:c>
      <x:c r="I40" s="5" t="n">
        <x:f>IFERROR(H40/F40,"")</x:f>
        <x:v>0.08762476040156007</x:v>
      </x:c>
      <x:c r="J40" t="str">
        <x:f>IF(H40&gt;0,"Yes",IF(H40&lt;0,"No","Tie"))</x:f>
        <x:v>Yes</x:v>
      </x:c>
    </x:row>
    <x:row r="41">
      <x:c r="A41" t="str">
        <x:v>DLinear</x:v>
      </x:c>
      <x:c r="B41" t="str">
        <x:v>ETTm1</x:v>
      </x:c>
      <x:c r="C41" t="n">
        <x:v>720</x:v>
      </x:c>
      <x:c r="D41" t="str">
        <x:v>COSA-P</x:v>
      </x:c>
      <x:c r="E41" t="str">
        <x:v>Spectral</x:v>
      </x:c>
      <x:c r="F41" s="4" t="n">
        <x:v>0.5818107724189758</x:v>
      </x:c>
      <x:c r="G41" s="4" t="n">
        <x:v>0.4653928130865097</x:v>
      </x:c>
      <x:c r="H41" s="4" t="n">
        <x:f>IF(OR(F41="",G41=""),"",F41-G41)</x:f>
        <x:v>0.11641795933246613</x:v>
      </x:c>
      <x:c r="I41" s="5" t="n">
        <x:f>IFERROR(H41/F41,"")</x:f>
        <x:v>0.20009591580513186</x:v>
      </x:c>
      <x:c r="J41" t="str">
        <x:f>IF(H41&gt;0,"Yes",IF(H41&lt;0,"No","Tie"))</x:f>
        <x:v>Yes</x:v>
      </x:c>
    </x:row>
    <x:row r="42">
      <x:c r="A42" t="str">
        <x:v>DLinear</x:v>
      </x:c>
      <x:c r="B42" t="str">
        <x:v>ETTm2</x:v>
      </x:c>
      <x:c r="C42" t="n">
        <x:v>96</x:v>
      </x:c>
      <x:c r="D42" t="str">
        <x:v>COSA-P</x:v>
      </x:c>
      <x:c r="E42" t="str">
        <x:v>Spectral</x:v>
      </x:c>
      <x:c r="F42" s="4" t="n">
        <x:v>0.12170587480068207</x:v>
      </x:c>
      <x:c r="G42" s="4" t="n">
        <x:v>0.11735377833247185</x:v>
      </x:c>
      <x:c r="H42" s="4" t="n">
        <x:f>IF(OR(F42="",G42=""),"",F42-G42)</x:f>
        <x:v>0.00435209646821022</x:v>
      </x:c>
      <x:c r="I42" s="5" t="n">
        <x:f>IFERROR(H42/F42,"")</x:f>
        <x:v>0.035759132213935084</x:v>
      </x:c>
      <x:c r="J42" t="str">
        <x:f>IF(H42&gt;0,"Yes",IF(H42&lt;0,"No","Tie"))</x:f>
        <x:v>Yes</x:v>
      </x:c>
    </x:row>
    <x:row r="43">
      <x:c r="A43" t="str">
        <x:v>DLinear</x:v>
      </x:c>
      <x:c r="B43" t="str">
        <x:v>ETTm2</x:v>
      </x:c>
      <x:c r="C43" t="n">
        <x:v>192</x:v>
      </x:c>
      <x:c r="D43" t="str">
        <x:v>COSA-P</x:v>
      </x:c>
      <x:c r="E43" t="str">
        <x:v>Spectral</x:v>
      </x:c>
      <x:c r="F43" s="4" t="n">
        <x:v>0.15435341745615005</x:v>
      </x:c>
      <x:c r="G43" s="4" t="n">
        <x:v>0.15472237020730972</x:v>
      </x:c>
      <x:c r="H43" s="4" t="n">
        <x:f>IF(OR(F43="",G43=""),"",F43-G43)</x:f>
        <x:v>-0.00036895275115966797</x:v>
      </x:c>
      <x:c r="I43" s="5" t="n">
        <x:f>IFERROR(H43/F43,"")</x:f>
        <x:v>-0.0023903115152243584</x:v>
      </x:c>
      <x:c r="J43" t="str">
        <x:f>IF(H43&gt;0,"Yes",IF(H43&lt;0,"No","Tie"))</x:f>
        <x:v>No</x:v>
      </x:c>
    </x:row>
    <x:row r="44">
      <x:c r="A44" t="str">
        <x:v>DLinear</x:v>
      </x:c>
      <x:c r="B44" t="str">
        <x:v>ETTm2</x:v>
      </x:c>
      <x:c r="C44" t="n">
        <x:v>336</x:v>
      </x:c>
      <x:c r="D44" t="str">
        <x:v>COSA-P</x:v>
      </x:c>
      <x:c r="E44" t="str">
        <x:v>Spectral</x:v>
      </x:c>
      <x:c r="F44" s="4" t="n">
        <x:v>0.19229884445667267</x:v>
      </x:c>
      <x:c r="G44" s="4" t="n">
        <x:v>0.16367222368717194</x:v>
      </x:c>
      <x:c r="H44" s="4" t="n">
        <x:f>IF(OR(F44="",G44=""),"",F44-G44)</x:f>
        <x:v>0.028626620769500732</x:v>
      </x:c>
      <x:c r="I44" s="5" t="n">
        <x:f>IFERROR(H44/F44,"")</x:f>
        <x:v>0.1488652771179323</x:v>
      </x:c>
      <x:c r="J44" t="str">
        <x:f>IF(H44&gt;0,"Yes",IF(H44&lt;0,"No","Tie"))</x:f>
        <x:v>Yes</x:v>
      </x:c>
    </x:row>
    <x:row r="45">
      <x:c r="A45" t="str">
        <x:v>DLinear</x:v>
      </x:c>
      <x:c r="B45" t="str">
        <x:v>ETTm2</x:v>
      </x:c>
      <x:c r="C45" t="n">
        <x:v>720</x:v>
      </x:c>
      <x:c r="D45" t="str">
        <x:v>COSA-P</x:v>
      </x:c>
      <x:c r="E45" t="str">
        <x:v>Spectral</x:v>
      </x:c>
      <x:c r="F45" s="4" t="n">
        <x:v>0.2480584904551506</x:v>
      </x:c>
      <x:c r="G45" s="4" t="n">
        <x:v>0.17237059772014618</x:v>
      </x:c>
      <x:c r="H45" s="4" t="n">
        <x:f>IF(OR(F45="",G45=""),"",F45-G45)</x:f>
        <x:v>0.07568789273500443</x:v>
      </x:c>
      <x:c r="I45" s="5" t="n">
        <x:f>IFERROR(H45/F45,"")</x:f>
        <x:v>0.3051211534671857</x:v>
      </x:c>
      <x:c r="J45" t="str">
        <x:f>IF(H45&gt;0,"Yes",IF(H45&lt;0,"No","Tie"))</x:f>
        <x:v>Yes</x:v>
      </x:c>
    </x:row>
    <x:row r="46">
      <x:c r="A46" t="str">
        <x:v>DLinear</x:v>
      </x:c>
      <x:c r="B46" t="str">
        <x:v>Exchange Rate</x:v>
      </x:c>
      <x:c r="C46" t="n">
        <x:v>96</x:v>
      </x:c>
      <x:c r="D46" t="str">
        <x:v>COSA-P</x:v>
      </x:c>
      <x:c r="E46" t="str">
        <x:v>Spectral</x:v>
      </x:c>
      <x:c r="F46" s="4" t="n">
        <x:v>0.08251798897981644</x:v>
      </x:c>
      <x:c r="G46" s="4" t="n">
        <x:v>0.08384042233228683</x:v>
      </x:c>
      <x:c r="H46" s="4" t="n">
        <x:f>IF(OR(F46="",G46=""),"",F46-G46)</x:f>
        <x:v>-0.001322433352470398</x:v>
      </x:c>
      <x:c r="I46" s="5" t="n">
        <x:f>IFERROR(H46/F46,"")</x:f>
        <x:v>-0.01602600074020054</x:v>
      </x:c>
      <x:c r="J46" t="str">
        <x:f>IF(H46&gt;0,"Yes",IF(H46&lt;0,"No","Tie"))</x:f>
        <x:v>No</x:v>
      </x:c>
    </x:row>
    <x:row r="47">
      <x:c r="A47" t="str">
        <x:v>DLinear</x:v>
      </x:c>
      <x:c r="B47" t="str">
        <x:v>Exchange Rate</x:v>
      </x:c>
      <x:c r="C47" t="n">
        <x:v>192</x:v>
      </x:c>
      <x:c r="D47" t="str">
        <x:v>COSA-P</x:v>
      </x:c>
      <x:c r="E47" t="str">
        <x:v>Spectral</x:v>
      </x:c>
      <x:c r="F47" s="4" t="n">
        <x:v>0.16179503500461578</x:v>
      </x:c>
      <x:c r="G47" s="4" t="n">
        <x:v>0.15214408934116364</x:v>
      </x:c>
      <x:c r="H47" s="4" t="n">
        <x:f>IF(OR(F47="",G47=""),"",F47-G47)</x:f>
        <x:v>0.009650945663452148</x:v>
      </x:c>
      <x:c r="I47" s="5" t="n">
        <x:f>IFERROR(H47/F47,"")</x:f>
        <x:v>0.05964920779662256</x:v>
      </x:c>
      <x:c r="J47" t="str">
        <x:f>IF(H47&gt;0,"Yes",IF(H47&lt;0,"No","Tie"))</x:f>
        <x:v>Yes</x:v>
      </x:c>
    </x:row>
    <x:row r="48">
      <x:c r="A48" t="str">
        <x:v>DLinear</x:v>
      </x:c>
      <x:c r="B48" t="str">
        <x:v>Exchange Rate</x:v>
      </x:c>
      <x:c r="C48" t="n">
        <x:v>336</x:v>
      </x:c>
      <x:c r="D48" t="str">
        <x:v>COSA-P</x:v>
      </x:c>
      <x:c r="E48" t="str">
        <x:v>Spectral</x:v>
      </x:c>
      <x:c r="F48" s="4" t="n">
        <x:v>0.276396244764328</x:v>
      </x:c>
      <x:c r="G48" s="4" t="n">
        <x:v>0.21114712208509445</x:v>
      </x:c>
      <x:c r="H48" s="4" t="n">
        <x:f>IF(OR(F48="",G48=""),"",F48-G48)</x:f>
        <x:v>0.06524912267923355</x:v>
      </x:c>
      <x:c r="I48" s="5" t="n">
        <x:f>IFERROR(H48/F48,"")</x:f>
        <x:v>0.23607094493946132</x:v>
      </x:c>
      <x:c r="J48" t="str">
        <x:f>IF(H48&gt;0,"Yes",IF(H48&lt;0,"No","Tie"))</x:f>
        <x:v>Yes</x:v>
      </x:c>
    </x:row>
    <x:row r="49">
      <x:c r="A49" t="str">
        <x:v>DLinear</x:v>
      </x:c>
      <x:c r="B49" t="str">
        <x:v>Exchange Rate</x:v>
      </x:c>
      <x:c r="C49" t="n">
        <x:v>720</x:v>
      </x:c>
      <x:c r="D49" t="str">
        <x:v>COSA-P</x:v>
      </x:c>
      <x:c r="E49" t="str">
        <x:v>Spectral</x:v>
      </x:c>
      <x:c r="F49" s="4" t="n">
        <x:v>0.49323973059654236</x:v>
      </x:c>
      <x:c r="G49" s="4" t="n">
        <x:v>0.3222336918115616</x:v>
      </x:c>
      <x:c r="H49" s="4" t="n">
        <x:f>IF(OR(F49="",G49=""),"",F49-G49)</x:f>
        <x:v>0.17100603878498077</x:v>
      </x:c>
      <x:c r="I49" s="5" t="n">
        <x:f>IFERROR(H49/F49,"")</x:f>
        <x:v>0.3466996435549905</x:v>
      </x:c>
      <x:c r="J49" t="str">
        <x:f>IF(H49&gt;0,"Yes",IF(H49&lt;0,"No","Tie"))</x:f>
        <x:v>Yes</x:v>
      </x:c>
    </x:row>
    <x:row r="50">
      <x:c r="A50" t="str">
        <x:v>DLinear</x:v>
      </x:c>
      <x:c r="B50" t="str">
        <x:v>weather</x:v>
      </x:c>
      <x:c r="C50" t="n">
        <x:v>96</x:v>
      </x:c>
      <x:c r="D50" t="str">
        <x:v>COSA-P</x:v>
      </x:c>
      <x:c r="E50" t="str">
        <x:v>Spectral</x:v>
      </x:c>
      <x:c r="F50" s="4" t="n">
        <x:v>0.18809332698583603</x:v>
      </x:c>
      <x:c r="G50" s="4" t="n">
        <x:v>0.18427637219429016</x:v>
      </x:c>
      <x:c r="H50" s="4" t="n">
        <x:f>IF(OR(F50="",G50=""),"",F50-G50)</x:f>
        <x:v>0.003816954791545868</x:v>
      </x:c>
      <x:c r="I50" s="5" t="n">
        <x:f>IFERROR(H50/F50,"")</x:f>
        <x:v>0.020292877225959727</x:v>
      </x:c>
      <x:c r="J50" t="str">
        <x:f>IF(H50&gt;0,"Yes",IF(H50&lt;0,"No","Tie"))</x:f>
        <x:v>Yes</x:v>
      </x:c>
    </x:row>
    <x:row r="51">
      <x:c r="A51" t="str">
        <x:v>DLinear</x:v>
      </x:c>
      <x:c r="B51" t="str">
        <x:v>weather</x:v>
      </x:c>
      <x:c r="C51" t="n">
        <x:v>192</x:v>
      </x:c>
      <x:c r="D51" t="str">
        <x:v>COSA-P</x:v>
      </x:c>
      <x:c r="E51" t="str">
        <x:v>Spectral</x:v>
      </x:c>
      <x:c r="F51" s="4" t="n">
        <x:v>0.24226956814527512</x:v>
      </x:c>
      <x:c r="G51" s="4" t="n">
        <x:v>0.2268565148115158</x:v>
      </x:c>
      <x:c r="H51" s="4" t="n">
        <x:f>IF(OR(F51="",G51=""),"",F51-G51)</x:f>
        <x:v>0.015413053333759308</x:v>
      </x:c>
      <x:c r="I51" s="5" t="n">
        <x:f>IFERROR(H51/F51,"")</x:f>
        <x:v>0.06361943619974997</x:v>
      </x:c>
      <x:c r="J51" t="str">
        <x:f>IF(H51&gt;0,"Yes",IF(H51&lt;0,"No","Tie"))</x:f>
        <x:v>Yes</x:v>
      </x:c>
    </x:row>
    <x:row r="52">
      <x:c r="A52" t="str">
        <x:v>DLinear</x:v>
      </x:c>
      <x:c r="B52" t="str">
        <x:v>weather</x:v>
      </x:c>
      <x:c r="C52" t="n">
        <x:v>336</x:v>
      </x:c>
      <x:c r="D52" t="str">
        <x:v>COSA-P</x:v>
      </x:c>
      <x:c r="E52" t="str">
        <x:v>Spectral</x:v>
      </x:c>
      <x:c r="F52" s="4" t="n">
        <x:v>0.3494512736797333</x:v>
      </x:c>
      <x:c r="G52" s="4" t="n">
        <x:v>0.23343678563833237</x:v>
      </x:c>
      <x:c r="H52" s="4" t="n">
        <x:f>IF(OR(F52="",G52=""),"",F52-G52)</x:f>
        <x:v>0.11601448804140091</x:v>
      </x:c>
      <x:c r="I52" s="5" t="n">
        <x:f>IFERROR(H52/F52,"")</x:f>
        <x:v>0.3319904569806387</x:v>
      </x:c>
      <x:c r="J52" t="str">
        <x:f>IF(H52&gt;0,"Yes",IF(H52&lt;0,"No","Tie"))</x:f>
        <x:v>Yes</x:v>
      </x:c>
    </x:row>
    <x:row r="53">
      <x:c r="A53" t="str">
        <x:v>DLinear</x:v>
      </x:c>
      <x:c r="B53" t="str">
        <x:v>weather</x:v>
      </x:c>
      <x:c r="C53" t="n">
        <x:v>720</x:v>
      </x:c>
      <x:c r="D53" t="str">
        <x:v>COSA-P</x:v>
      </x:c>
      <x:c r="E53" t="str">
        <x:v>Spectral</x:v>
      </x:c>
      <x:c r="F53" s="4" t="n">
        <x:v>0.372201532125473</x:v>
      </x:c>
      <x:c r="G53" s="4" t="n">
        <x:v>0.22317377477884293</x:v>
      </x:c>
      <x:c r="H53" s="4" t="n">
        <x:f>IF(OR(F53="",G53=""),"",F53-G53)</x:f>
        <x:v>0.1490277573466301</x:v>
      </x:c>
      <x:c r="I53" s="5" t="n">
        <x:f>IFERROR(H53/F53,"")</x:f>
        <x:v>0.40039533554738643</x:v>
      </x:c>
      <x:c r="J53" t="str">
        <x:f>IF(H53&gt;0,"Yes",IF(H53&lt;0,"No","Tie"))</x:f>
        <x:v>Yes</x:v>
      </x:c>
    </x:row>
    <x:row r="54">
      <x:c r="A54" t="str">
        <x:v>DLinear</x:v>
      </x:c>
      <x:c r="B54" t="str">
        <x:v>electricity</x:v>
      </x:c>
      <x:c r="C54" t="n">
        <x:v>96</x:v>
      </x:c>
      <x:c r="D54" t="str">
        <x:v>COSA-P</x:v>
      </x:c>
      <x:c r="E54" t="str">
        <x:v>Spectral</x:v>
      </x:c>
      <x:c r="F54" s="4" t="n">
        <x:v>0.2072960982720057</x:v>
      </x:c>
      <x:c r="G54" s="4" t="n">
        <x:v>0.20203814407189688</x:v>
      </x:c>
      <x:c r="H54" s="4" t="n">
        <x:f>IF(OR(F54="",G54=""),"",F54-G54)</x:f>
        <x:v>0.0052579542001088275</x:v>
      </x:c>
      <x:c r="I54" s="5" t="n">
        <x:f>IFERROR(H54/F54,"")</x:f>
        <x:v>0.025364462929782446</x:v>
      </x:c>
      <x:c r="J54" t="str">
        <x:f>IF(H54&gt;0,"Yes",IF(H54&lt;0,"No","Tie"))</x:f>
        <x:v>Yes</x:v>
      </x:c>
    </x:row>
    <x:row r="55">
      <x:c r="A55" t="str">
        <x:v>DLinear</x:v>
      </x:c>
      <x:c r="B55" t="str">
        <x:v>electricity</x:v>
      </x:c>
      <x:c r="C55" t="n">
        <x:v>192</x:v>
      </x:c>
      <x:c r="D55" t="str">
        <x:v>COSA-P</x:v>
      </x:c>
      <x:c r="E55" t="str">
        <x:v>Spectral</x:v>
      </x:c>
      <x:c r="F55" s="4" t="n">
        <x:v>0.20497173070907593</x:v>
      </x:c>
      <x:c r="G55" s="4" t="n">
        <x:v>0.20206349591414133</x:v>
      </x:c>
      <x:c r="H55" s="4" t="n">
        <x:f>IF(OR(F55="",G55=""),"",F55-G55)</x:f>
        <x:v>0.0029082347949346</x:v>
      </x:c>
      <x:c r="I55" s="5" t="n">
        <x:f>IFERROR(H55/F55,"")</x:f>
        <x:v>0.014188467770037844</x:v>
      </x:c>
      <x:c r="J55" t="str">
        <x:f>IF(H55&gt;0,"Yes",IF(H55&lt;0,"No","Tie"))</x:f>
        <x:v>Yes</x:v>
      </x:c>
    </x:row>
    <x:row r="56">
      <x:c r="A56" t="str">
        <x:v>DLinear</x:v>
      </x:c>
      <x:c r="B56" t="str">
        <x:v>electricity</x:v>
      </x:c>
      <x:c r="C56" t="n">
        <x:v>336</x:v>
      </x:c>
      <x:c r="D56" t="str">
        <x:v>COSA-P</x:v>
      </x:c>
      <x:c r="E56" t="str">
        <x:v>Spectral</x:v>
      </x:c>
      <x:c r="F56" s="4" t="n">
        <x:v>0.2121786574522654</x:v>
      </x:c>
      <x:c r="G56" s="4" t="n">
        <x:v>0.21033125619093576</x:v>
      </x:c>
      <x:c r="H56" s="4" t="n">
        <x:f>IF(OR(F56="",G56=""),"",F56-G56)</x:f>
        <x:v>0.0018474012613296509</x:v>
      </x:c>
      <x:c r="I56" s="5" t="n">
        <x:f>IFERROR(H56/F56,"")</x:f>
        <x:v>0.00870681944881882</x:v>
      </x:c>
      <x:c r="J56" t="str">
        <x:f>IF(H56&gt;0,"Yes",IF(H56&lt;0,"No","Tie"))</x:f>
        <x:v>Yes</x:v>
      </x:c>
    </x:row>
    <x:row r="57">
      <x:c r="A57" t="str">
        <x:v>DLinear</x:v>
      </x:c>
      <x:c r="B57" t="str">
        <x:v>electricity</x:v>
      </x:c>
      <x:c r="C57" t="n">
        <x:v>720</x:v>
      </x:c>
      <x:c r="D57" t="str">
        <x:v>COSA-P</x:v>
      </x:c>
      <x:c r="E57" t="str">
        <x:v>Spectral</x:v>
      </x:c>
      <x:c r="F57" s="4" t="n">
        <x:v>0.23733621339003244</x:v>
      </x:c>
      <x:c r="G57" s="4" t="n">
        <x:v>0.2230801284313202</x:v>
      </x:c>
      <x:c r="H57" s="4" t="n">
        <x:f>IF(OR(F57="",G57=""),"",F57-G57)</x:f>
        <x:v>0.01425608495871225</x:v>
      </x:c>
      <x:c r="I57" s="5" t="n">
        <x:f>IFERROR(H57/F57,"")</x:f>
        <x:v>0.06006704478462439</x:v>
      </x:c>
      <x:c r="J57" t="str">
        <x:f>IF(H57&gt;0,"Yes",IF(H57&lt;0,"No","Tie"))</x:f>
        <x:v>Yes</x:v>
      </x:c>
    </x:row>
    <x:row r="58">
      <x:c r="A58" t="str">
        <x:v>DLinear</x:v>
      </x:c>
      <x:c r="B58" t="str">
        <x:v>traffic</x:v>
      </x:c>
      <x:c r="C58" t="n">
        <x:v>96</x:v>
      </x:c>
      <x:c r="D58" t="str">
        <x:v>COSA-P</x:v>
      </x:c>
      <x:c r="E58" t="str">
        <x:v>Spectral</x:v>
      </x:c>
      <x:c r="F58" s="4" t="n">
        <x:v>0.6713042855262756</x:v>
      </x:c>
      <x:c r="G58" s="4" t="n">
        <x:v>0.6693957249323527</x:v>
      </x:c>
      <x:c r="H58" s="4" t="n">
        <x:f>IF(OR(F58="",G58=""),"",F58-G58)</x:f>
        <x:v>0.00190856059392297</x:v>
      </x:c>
      <x:c r="I58" s="5" t="n">
        <x:f>IFERROR(H58/F58,"")</x:f>
        <x:v>0.0028430633247436147</x:v>
      </x:c>
      <x:c r="J58" t="str">
        <x:f>IF(H58&gt;0,"Yes",IF(H58&lt;0,"No","Tie"))</x:f>
        <x:v>Yes</x:v>
      </x:c>
    </x:row>
    <x:row r="59">
      <x:c r="A59" t="str">
        <x:v>DLinear</x:v>
      </x:c>
      <x:c r="B59" t="str">
        <x:v>traffic</x:v>
      </x:c>
      <x:c r="C59" t="n">
        <x:v>192</x:v>
      </x:c>
      <x:c r="D59" t="str">
        <x:v>COSA-P</x:v>
      </x:c>
      <x:c r="E59" t="str">
        <x:v>Spectral</x:v>
      </x:c>
      <x:c r="F59" s="4" t="n">
        <x:v>0.6235871911048889</x:v>
      </x:c>
      <x:c r="G59" s="4" t="n">
        <x:v>0.6231372356414795</x:v>
      </x:c>
      <x:c r="H59" s="4" t="n">
        <x:f>IF(OR(F59="",G59=""),"",F59-G59)</x:f>
        <x:v>0.00044995546340942383</x:v>
      </x:c>
      <x:c r="I59" s="5" t="n">
        <x:f>IFERROR(H59/F59,"")</x:f>
        <x:v>0.0007215598232737597</x:v>
      </x:c>
      <x:c r="J59" t="str">
        <x:f>IF(H59&gt;0,"Yes",IF(H59&lt;0,"No","Tie"))</x:f>
        <x:v>Yes</x:v>
      </x:c>
    </x:row>
    <x:row r="60">
      <x:c r="A60" t="str">
        <x:v>DLinear</x:v>
      </x:c>
      <x:c r="B60" t="str">
        <x:v>traffic</x:v>
      </x:c>
      <x:c r="C60" t="n">
        <x:v>336</x:v>
      </x:c>
      <x:c r="D60" t="str">
        <x:v>COSA-P</x:v>
      </x:c>
      <x:c r="E60" t="str">
        <x:v>Spectral</x:v>
      </x:c>
      <x:c r="F60" s="4" t="n">
        <x:v>0.6255009174346924</x:v>
      </x:c>
      <x:c r="G60" s="4" t="n">
        <x:v>0.6306936343510946</x:v>
      </x:c>
      <x:c r="H60" s="4" t="n">
        <x:f>IF(OR(F60="",G60=""),"",F60-G60)</x:f>
        <x:v>-0.005192716916402218</x:v>
      </x:c>
      <x:c r="I60" s="5" t="n">
        <x:f>IFERROR(H60/F60,"")</x:f>
        <x:v>-0.008301693525404592</x:v>
      </x:c>
      <x:c r="J60" t="str">
        <x:f>IF(H60&gt;0,"Yes",IF(H60&lt;0,"No","Tie"))</x:f>
        <x:v>No</x:v>
      </x:c>
    </x:row>
    <x:row r="61">
      <x:c r="A61" t="str">
        <x:v>DLinear</x:v>
      </x:c>
      <x:c r="B61" t="str">
        <x:v>traffic</x:v>
      </x:c>
      <x:c r="C61" t="n">
        <x:v>720</x:v>
      </x:c>
      <x:c r="D61" t="str">
        <x:v>COSA-P</x:v>
      </x:c>
      <x:c r="E61" t="str">
        <x:v>Spectral</x:v>
      </x:c>
      <x:c r="F61" s="4" t="n">
        <x:v>0.6572381854057312</x:v>
      </x:c>
      <x:c r="G61" s="4" t="n">
        <x:v>0.6635934511820475</x:v>
      </x:c>
      <x:c r="H61" s="4" t="n">
        <x:f>IF(OR(F61="",G61=""),"",F61-G61)</x:f>
        <x:v>-0.006355265776316288</x:v>
      </x:c>
      <x:c r="I61" s="5" t="n">
        <x:f>IFERROR(H61/F61,"")</x:f>
        <x:v>-0.009669653890230081</x:v>
      </x:c>
      <x:c r="J61" t="str">
        <x:f>IF(H61&gt;0,"Yes",IF(H61&lt;0,"No","Tie"))</x:f>
        <x:v>No</x:v>
      </x:c>
    </x:row>
    <x:row r="62">
      <x:c r="A62" t="str">
        <x:v>FreTS</x:v>
      </x:c>
      <x:c r="B62" t="str">
        <x:v>ETTh1</x:v>
      </x:c>
      <x:c r="C62" t="n">
        <x:v>96</x:v>
      </x:c>
      <x:c r="D62" t="str">
        <x:v>COSA-P</x:v>
      </x:c>
      <x:c r="E62" t="str">
        <x:v>Spectral</x:v>
      </x:c>
      <x:c r="F62" s="4" t="n">
        <x:v>0.4383009821176529</x:v>
      </x:c>
      <x:c r="G62" s="4" t="n">
        <x:v>0.4157506823539734</x:v>
      </x:c>
      <x:c r="H62" s="4" t="n">
        <x:f>IF(OR(F62="",G62=""),"",F62-G62)</x:f>
        <x:v>0.022550299763679504</x:v>
      </x:c>
      <x:c r="I62" s="5" t="n">
        <x:f>IFERROR(H62/F62,"")</x:f>
        <x:v>0.051449348013613026</x:v>
      </x:c>
      <x:c r="J62" t="str">
        <x:f>IF(H62&gt;0,"Yes",IF(H62&lt;0,"No","Tie"))</x:f>
        <x:v>Yes</x:v>
      </x:c>
    </x:row>
    <x:row r="63">
      <x:c r="A63" t="str">
        <x:v>FreTS</x:v>
      </x:c>
      <x:c r="B63" t="str">
        <x:v>ETTh1</x:v>
      </x:c>
      <x:c r="C63" t="n">
        <x:v>192</x:v>
      </x:c>
      <x:c r="D63" t="str">
        <x:v>COSA-P</x:v>
      </x:c>
      <x:c r="E63" t="str">
        <x:v>Spectral</x:v>
      </x:c>
      <x:c r="F63" s="4" t="n">
        <x:v>0.5107154250144958</x:v>
      </x:c>
      <x:c r="G63" s="4" t="n">
        <x:v>0.4913288652896881</x:v>
      </x:c>
      <x:c r="H63" s="4" t="n">
        <x:f>IF(OR(F63="",G63=""),"",F63-G63)</x:f>
        <x:v>0.01938655972480774</x:v>
      </x:c>
      <x:c r="I63" s="5" t="n">
        <x:f>IFERROR(H63/F63,"")</x:f>
        <x:v>0.0379596126830465</x:v>
      </x:c>
      <x:c r="J63" t="str">
        <x:f>IF(H63&gt;0,"Yes",IF(H63&lt;0,"No","Tie"))</x:f>
        <x:v>Yes</x:v>
      </x:c>
    </x:row>
    <x:row r="64">
      <x:c r="A64" t="str">
        <x:v>FreTS</x:v>
      </x:c>
      <x:c r="B64" t="str">
        <x:v>ETTh1</x:v>
      </x:c>
      <x:c r="C64" t="n">
        <x:v>336</x:v>
      </x:c>
      <x:c r="D64" t="str">
        <x:v>COSA-P</x:v>
      </x:c>
      <x:c r="E64" t="str">
        <x:v>Spectral</x:v>
      </x:c>
      <x:c r="F64" s="4" t="n">
        <x:v>0.5245907604694366</x:v>
      </x:c>
      <x:c r="G64" s="4" t="n">
        <x:v>0.5426894426345825</x:v>
      </x:c>
      <x:c r="H64" s="4" t="n">
        <x:f>IF(OR(F64="",G64=""),"",F64-G64)</x:f>
        <x:v>-0.018098682165145874</x:v>
      </x:c>
      <x:c r="I64" s="5" t="n">
        <x:f>IFERROR(H64/F64,"")</x:f>
        <x:v>-0.03450057364515921</x:v>
      </x:c>
      <x:c r="J64" t="str">
        <x:f>IF(H64&gt;0,"Yes",IF(H64&lt;0,"No","Tie"))</x:f>
        <x:v>No</x:v>
      </x:c>
    </x:row>
    <x:row r="65">
      <x:c r="A65" t="str">
        <x:v>FreTS</x:v>
      </x:c>
      <x:c r="B65" t="str">
        <x:v>ETTh1</x:v>
      </x:c>
      <x:c r="C65" t="n">
        <x:v>720</x:v>
      </x:c>
      <x:c r="D65" t="str">
        <x:v>COSA-P</x:v>
      </x:c>
      <x:c r="E65" t="str">
        <x:v>Spectral</x:v>
      </x:c>
      <x:c r="F65" s="4" t="n">
        <x:v>0.5884842276573181</x:v>
      </x:c>
      <x:c r="G65" s="4" t="n">
        <x:v>0.588626354932785</x:v>
      </x:c>
      <x:c r="H65" s="4" t="n">
        <x:f>IF(OR(F65="",G65=""),"",F65-G65)</x:f>
        <x:v>-0.00014212727546691895</x:v>
      </x:c>
      <x:c r="I65" s="5" t="n">
        <x:f>IFERROR(H65/F65,"")</x:f>
        <x:v>-0.00024151416263560674</x:v>
      </x:c>
      <x:c r="J65" t="str">
        <x:f>IF(H65&gt;0,"Yes",IF(H65&lt;0,"No","Tie"))</x:f>
        <x:v>No</x:v>
      </x:c>
    </x:row>
    <x:row r="66">
      <x:c r="A66" t="str">
        <x:v>FreTS</x:v>
      </x:c>
      <x:c r="B66" t="str">
        <x:v>ETTh2</x:v>
      </x:c>
      <x:c r="C66" t="n">
        <x:v>96</x:v>
      </x:c>
      <x:c r="D66" t="str">
        <x:v>COSA-P</x:v>
      </x:c>
      <x:c r="E66" t="str">
        <x:v>Spectral</x:v>
      </x:c>
      <x:c r="F66" s="4" t="n">
        <x:v>0.18290401995182037</x:v>
      </x:c>
      <x:c r="G66" s="4" t="n">
        <x:v>0.18530026078224182</x:v>
      </x:c>
      <x:c r="H66" s="4" t="n">
        <x:f>IF(OR(F66="",G66=""),"",F66-G66)</x:f>
        <x:v>-0.0023962408304214478</x:v>
      </x:c>
      <x:c r="I66" s="5" t="n">
        <x:f>IFERROR(H66/F66,"")</x:f>
        <x:v>-0.01310108345925176</x:v>
      </x:c>
      <x:c r="J66" t="str">
        <x:f>IF(H66&gt;0,"Yes",IF(H66&lt;0,"No","Tie"))</x:f>
        <x:v>No</x:v>
      </x:c>
    </x:row>
    <x:row r="67">
      <x:c r="A67" t="str">
        <x:v>FreTS</x:v>
      </x:c>
      <x:c r="B67" t="str">
        <x:v>ETTh2</x:v>
      </x:c>
      <x:c r="C67" t="n">
        <x:v>192</x:v>
      </x:c>
      <x:c r="D67" t="str">
        <x:v>COSA-P</x:v>
      </x:c>
      <x:c r="E67" t="str">
        <x:v>Spectral</x:v>
      </x:c>
      <x:c r="F67" s="4" t="n">
        <x:v>0.22984886169433594</x:v>
      </x:c>
      <x:c r="G67" s="4" t="n">
        <x:v>0.23325051367282867</x:v>
      </x:c>
      <x:c r="H67" s="4" t="n">
        <x:f>IF(OR(F67="",G67=""),"",F67-G67)</x:f>
        <x:v>-0.003401651978492737</x:v>
      </x:c>
      <x:c r="I67" s="5" t="n">
        <x:f>IFERROR(H67/F67,"")</x:f>
        <x:v>-0.014799516314404973</x:v>
      </x:c>
      <x:c r="J67" t="str">
        <x:f>IF(H67&gt;0,"Yes",IF(H67&lt;0,"No","Tie"))</x:f>
        <x:v>No</x:v>
      </x:c>
    </x:row>
    <x:row r="68">
      <x:c r="A68" t="str">
        <x:v>FreTS</x:v>
      </x:c>
      <x:c r="B68" t="str">
        <x:v>ETTh2</x:v>
      </x:c>
      <x:c r="C68" t="n">
        <x:v>336</x:v>
      </x:c>
      <x:c r="D68" t="str">
        <x:v>COSA-P</x:v>
      </x:c>
      <x:c r="E68" t="str">
        <x:v>Spectral</x:v>
      </x:c>
      <x:c r="F68" s="4" t="n">
        <x:v>0.2581198662519455</x:v>
      </x:c>
      <x:c r="G68" s="4" t="n">
        <x:v>0.25198595225811005</x:v>
      </x:c>
      <x:c r="H68" s="4" t="n">
        <x:f>IF(OR(F68="",G68=""),"",F68-G68)</x:f>
        <x:v>0.006133913993835449</x:v>
      </x:c>
      <x:c r="I68" s="5" t="n">
        <x:f>IFERROR(H68/F68,"")</x:f>
        <x:v>0.02376381982101394</x:v>
      </x:c>
      <x:c r="J68" t="str">
        <x:f>IF(H68&gt;0,"Yes",IF(H68&lt;0,"No","Tie"))</x:f>
        <x:v>Yes</x:v>
      </x:c>
    </x:row>
    <x:row r="69">
      <x:c r="A69" t="str">
        <x:v>FreTS</x:v>
      </x:c>
      <x:c r="B69" t="str">
        <x:v>ETTh2</x:v>
      </x:c>
      <x:c r="C69" t="n">
        <x:v>720</x:v>
      </x:c>
      <x:c r="D69" t="str">
        <x:v>COSA-P</x:v>
      </x:c>
      <x:c r="E69" t="str">
        <x:v>Spectral</x:v>
      </x:c>
      <x:c r="F69" s="4" t="n">
        <x:v>0.2757241278886795</x:v>
      </x:c>
      <x:c r="G69" s="4" t="n">
        <x:v>0.27547670900821686</x:v>
      </x:c>
      <x:c r="H69" s="4" t="n">
        <x:f>IF(OR(F69="",G69=""),"",F69-G69)</x:f>
        <x:v>0.0002474188804626465</x:v>
      </x:c>
      <x:c r="I69" s="5" t="n">
        <x:f>IFERROR(H69/F69,"")</x:f>
        <x:v>0.0008973421454162294</x:v>
      </x:c>
      <x:c r="J69" t="str">
        <x:f>IF(H69&gt;0,"Yes",IF(H69&lt;0,"No","Tie"))</x:f>
        <x:v>Yes</x:v>
      </x:c>
    </x:row>
    <x:row r="70">
      <x:c r="A70" t="str">
        <x:v>FreTS</x:v>
      </x:c>
      <x:c r="B70" t="str">
        <x:v>ETTm1</x:v>
      </x:c>
      <x:c r="C70" t="n">
        <x:v>96</x:v>
      </x:c>
      <x:c r="D70" t="str">
        <x:v>COSA-P</x:v>
      </x:c>
      <x:c r="E70" t="str">
        <x:v>Spectral</x:v>
      </x:c>
      <x:c r="F70" s="4" t="n">
        <x:v>0.3519553244113922</x:v>
      </x:c>
      <x:c r="G70" s="4" t="n">
        <x:v>0.3404066860675812</x:v>
      </x:c>
      <x:c r="H70" s="4" t="n">
        <x:f>IF(OR(F70="",G70=""),"",F70-G70)</x:f>
        <x:v>0.011548638343811035</x:v>
      </x:c>
      <x:c r="I70" s="5" t="n">
        <x:f>IFERROR(H70/F70,"")</x:f>
        <x:v>0.03281279623521793</x:v>
      </x:c>
      <x:c r="J70" t="str">
        <x:f>IF(H70&gt;0,"Yes",IF(H70&lt;0,"No","Tie"))</x:f>
        <x:v>Yes</x:v>
      </x:c>
    </x:row>
    <x:row r="71">
      <x:c r="A71" t="str">
        <x:v>FreTS</x:v>
      </x:c>
      <x:c r="B71" t="str">
        <x:v>ETTm1</x:v>
      </x:c>
      <x:c r="C71" t="n">
        <x:v>192</x:v>
      </x:c>
      <x:c r="D71" t="str">
        <x:v>COSA-P</x:v>
      </x:c>
      <x:c r="E71" t="str">
        <x:v>Spectral</x:v>
      </x:c>
      <x:c r="F71" s="4" t="n">
        <x:v>0.417897030711174</x:v>
      </x:c>
      <x:c r="G71" s="4" t="n">
        <x:v>0.4058390110731125</x:v>
      </x:c>
      <x:c r="H71" s="4" t="n">
        <x:f>IF(OR(F71="",G71=""),"",F71-G71)</x:f>
        <x:v>0.012058019638061523</x:v>
      </x:c>
      <x:c r="I71" s="5" t="n">
        <x:f>IFERROR(H71/F71,"")</x:f>
        <x:v>0.02885404478117798</x:v>
      </x:c>
      <x:c r="J71" t="str">
        <x:f>IF(H71&gt;0,"Yes",IF(H71&lt;0,"No","Tie"))</x:f>
        <x:v>Yes</x:v>
      </x:c>
    </x:row>
    <x:row r="72">
      <x:c r="A72" t="str">
        <x:v>FreTS</x:v>
      </x:c>
      <x:c r="B72" t="str">
        <x:v>ETTm1</x:v>
      </x:c>
      <x:c r="C72" t="n">
        <x:v>336</x:v>
      </x:c>
      <x:c r="D72" t="str">
        <x:v>COSA-P</x:v>
      </x:c>
      <x:c r="E72" t="str">
        <x:v>Spectral</x:v>
      </x:c>
      <x:c r="F72" s="4" t="n">
        <x:v>0.49230819940567017</x:v>
      </x:c>
      <x:c r="G72" s="4" t="n">
        <x:v>0.45788806676864624</x:v>
      </x:c>
      <x:c r="H72" s="4" t="n">
        <x:f>IF(OR(F72="",G72=""),"",F72-G72)</x:f>
        <x:v>0.034420132637023926</x:v>
      </x:c>
      <x:c r="I72" s="5" t="n">
        <x:f>IFERROR(H72/F72,"")</x:f>
        <x:v>0.06991582240266765</x:v>
      </x:c>
      <x:c r="J72" t="str">
        <x:f>IF(H72&gt;0,"Yes",IF(H72&lt;0,"No","Tie"))</x:f>
        <x:v>Yes</x:v>
      </x:c>
    </x:row>
    <x:row r="73">
      <x:c r="A73" t="str">
        <x:v>FreTS</x:v>
      </x:c>
      <x:c r="B73" t="str">
        <x:v>ETTm1</x:v>
      </x:c>
      <x:c r="C73" t="n">
        <x:v>720</x:v>
      </x:c>
      <x:c r="D73" t="str">
        <x:v>COSA-P</x:v>
      </x:c>
      <x:c r="E73" t="str">
        <x:v>Spectral</x:v>
      </x:c>
      <x:c r="F73" s="4" t="n">
        <x:v>0.5682907998561859</x:v>
      </x:c>
      <x:c r="G73" s="4" t="n">
        <x:v>0.4606608897447586</x:v>
      </x:c>
      <x:c r="H73" s="4" t="n">
        <x:f>IF(OR(F73="",G73=""),"",F73-G73)</x:f>
        <x:v>0.10762991011142731</x:v>
      </x:c>
      <x:c r="I73" s="5" t="n">
        <x:f>IFERROR(H73/F73,"")</x:f>
        <x:v>0.1893923148829166</x:v>
      </x:c>
      <x:c r="J73" t="str">
        <x:f>IF(H73&gt;0,"Yes",IF(H73&lt;0,"No","Tie"))</x:f>
        <x:v>Yes</x:v>
      </x:c>
    </x:row>
    <x:row r="74">
      <x:c r="A74" t="str">
        <x:v>FreTS</x:v>
      </x:c>
      <x:c r="B74" t="str">
        <x:v>ETTm2</x:v>
      </x:c>
      <x:c r="C74" t="n">
        <x:v>96</x:v>
      </x:c>
      <x:c r="D74" t="str">
        <x:v>COSA-P</x:v>
      </x:c>
      <x:c r="E74" t="str">
        <x:v>Spectral</x:v>
      </x:c>
      <x:c r="F74" s="4" t="n">
        <x:v>0.11903567239642143</x:v>
      </x:c>
      <x:c r="G74" s="4" t="n">
        <x:v>0.11847829446196556</x:v>
      </x:c>
      <x:c r="H74" s="4" t="n">
        <x:f>IF(OR(F74="",G74=""),"",F74-G74)</x:f>
        <x:v>0.0005573779344558716</x:v>
      </x:c>
      <x:c r="I74" s="5" t="n">
        <x:f>IFERROR(H74/F74,"")</x:f>
        <x:v>0.0046824445414955125</x:v>
      </x:c>
      <x:c r="J74" t="str">
        <x:f>IF(H74&gt;0,"Yes",IF(H74&lt;0,"No","Tie"))</x:f>
        <x:v>Yes</x:v>
      </x:c>
    </x:row>
    <x:row r="75">
      <x:c r="A75" t="str">
        <x:v>FreTS</x:v>
      </x:c>
      <x:c r="B75" t="str">
        <x:v>ETTm2</x:v>
      </x:c>
      <x:c r="C75" t="n">
        <x:v>192</x:v>
      </x:c>
      <x:c r="D75" t="str">
        <x:v>COSA-P</x:v>
      </x:c>
      <x:c r="E75" t="str">
        <x:v>Spectral</x:v>
      </x:c>
      <x:c r="F75" s="4" t="n">
        <x:v>0.1530347317457199</x:v>
      </x:c>
      <x:c r="G75" s="4" t="n">
        <x:v>0.15368111431598663</x:v>
      </x:c>
      <x:c r="H75" s="4" t="n">
        <x:f>IF(OR(F75="",G75=""),"",F75-G75)</x:f>
        <x:v>-0.0006463825702667236</x:v>
      </x:c>
      <x:c r="I75" s="5" t="n">
        <x:f>IFERROR(H75/F75,"")</x:f>
        <x:v>-0.004223763866497592</x:v>
      </x:c>
      <x:c r="J75" t="str">
        <x:f>IF(H75&gt;0,"Yes",IF(H75&lt;0,"No","Tie"))</x:f>
        <x:v>No</x:v>
      </x:c>
    </x:row>
    <x:row r="76">
      <x:c r="A76" t="str">
        <x:v>FreTS</x:v>
      </x:c>
      <x:c r="B76" t="str">
        <x:v>ETTm2</x:v>
      </x:c>
      <x:c r="C76" t="n">
        <x:v>336</x:v>
      </x:c>
      <x:c r="D76" t="str">
        <x:v>COSA-P</x:v>
      </x:c>
      <x:c r="E76" t="str">
        <x:v>Spectral</x:v>
      </x:c>
      <x:c r="F76" s="4" t="n">
        <x:v>0.19166923314332962</x:v>
      </x:c>
      <x:c r="G76" s="4" t="n">
        <x:v>0.16560900211334229</x:v>
      </x:c>
      <x:c r="H76" s="4" t="n">
        <x:f>IF(OR(F76="",G76=""),"",F76-G76)</x:f>
        <x:v>0.026060231029987335</x:v>
      </x:c>
      <x:c r="I76" s="5" t="n">
        <x:f>IFERROR(H76/F76,"")</x:f>
        <x:v>0.13596460215656825</x:v>
      </x:c>
      <x:c r="J76" t="str">
        <x:f>IF(H76&gt;0,"Yes",IF(H76&lt;0,"No","Tie"))</x:f>
        <x:v>Yes</x:v>
      </x:c>
    </x:row>
    <x:row r="77">
      <x:c r="A77" t="str">
        <x:v>FreTS</x:v>
      </x:c>
      <x:c r="B77" t="str">
        <x:v>ETTm2</x:v>
      </x:c>
      <x:c r="C77" t="n">
        <x:v>720</x:v>
      </x:c>
      <x:c r="D77" t="str">
        <x:v>COSA-P</x:v>
      </x:c>
      <x:c r="E77" t="str">
        <x:v>Spectral</x:v>
      </x:c>
      <x:c r="F77" s="4" t="n">
        <x:v>0.24894782155752182</x:v>
      </x:c>
      <x:c r="G77" s="4" t="n">
        <x:v>0.18142680823802948</x:v>
      </x:c>
      <x:c r="H77" s="4" t="n">
        <x:f>IF(OR(F77="",G77=""),"",F77-G77)</x:f>
        <x:v>0.06752101331949234</x:v>
      </x:c>
      <x:c r="I77" s="5" t="n">
        <x:f>IFERROR(H77/F77,"")</x:f>
        <x:v>0.2712255640441142</x:v>
      </x:c>
      <x:c r="J77" t="str">
        <x:f>IF(H77&gt;0,"Yes",IF(H77&lt;0,"No","Tie"))</x:f>
        <x:v>Yes</x:v>
      </x:c>
    </x:row>
    <x:row r="78">
      <x:c r="A78" t="str">
        <x:v>FreTS</x:v>
      </x:c>
      <x:c r="B78" t="str">
        <x:v>Exchange Rate</x:v>
      </x:c>
      <x:c r="C78" t="n">
        <x:v>96</x:v>
      </x:c>
      <x:c r="D78" t="str">
        <x:v>COSA-P</x:v>
      </x:c>
      <x:c r="E78" t="str">
        <x:v>Spectral</x:v>
      </x:c>
      <x:c r="F78" s="4" t="n">
        <x:v>0.0793573260307312</x:v>
      </x:c>
      <x:c r="G78" s="4" t="n">
        <x:v>0.08038845658302307</x:v>
      </x:c>
      <x:c r="H78" s="4" t="n">
        <x:f>IF(OR(F78="",G78=""),"",F78-G78)</x:f>
        <x:v>-0.0010311305522918701</x:v>
      </x:c>
      <x:c r="I78" s="5" t="n">
        <x:f>IFERROR(H78/F78,"")</x:f>
        <x:v>-0.0129935143214448</x:v>
      </x:c>
      <x:c r="J78" t="str">
        <x:f>IF(H78&gt;0,"Yes",IF(H78&lt;0,"No","Tie"))</x:f>
        <x:v>No</x:v>
      </x:c>
    </x:row>
    <x:row r="79">
      <x:c r="A79" t="str">
        <x:v>FreTS</x:v>
      </x:c>
      <x:c r="B79" t="str">
        <x:v>Exchange Rate</x:v>
      </x:c>
      <x:c r="C79" t="n">
        <x:v>192</x:v>
      </x:c>
      <x:c r="D79" t="str">
        <x:v>COSA-P</x:v>
      </x:c>
      <x:c r="E79" t="str">
        <x:v>Spectral</x:v>
      </x:c>
      <x:c r="F79" s="4" t="n">
        <x:v>0.15873949229717255</x:v>
      </x:c>
      <x:c r="G79" s="4" t="n">
        <x:v>0.14946843683719635</x:v>
      </x:c>
      <x:c r="H79" s="4" t="n">
        <x:f>IF(OR(F79="",G79=""),"",F79-G79)</x:f>
        <x:v>0.009271055459976196</x:v>
      </x:c>
      <x:c r="I79" s="5" t="n">
        <x:f>IFERROR(H79/F79,"")</x:f>
        <x:v>0.05840421514401764</x:v>
      </x:c>
      <x:c r="J79" t="str">
        <x:f>IF(H79&gt;0,"Yes",IF(H79&lt;0,"No","Tie"))</x:f>
        <x:v>Yes</x:v>
      </x:c>
    </x:row>
    <x:row r="80">
      <x:c r="A80" t="str">
        <x:v>FreTS</x:v>
      </x:c>
      <x:c r="B80" t="str">
        <x:v>Exchange Rate</x:v>
      </x:c>
      <x:c r="C80" t="n">
        <x:v>336</x:v>
      </x:c>
      <x:c r="D80" t="str">
        <x:v>COSA-P</x:v>
      </x:c>
      <x:c r="E80" t="str">
        <x:v>Spectral</x:v>
      </x:c>
      <x:c r="F80" s="4" t="n">
        <x:v>0.2735913544893265</x:v>
      </x:c>
      <x:c r="G80" s="4" t="n">
        <x:v>0.21382950246334076</x:v>
      </x:c>
      <x:c r="H80" s="4" t="n">
        <x:f>IF(OR(F80="",G80=""),"",F80-G80)</x:f>
        <x:v>0.05976185202598572</x:v>
      </x:c>
      <x:c r="I80" s="5" t="n">
        <x:f>IFERROR(H80/F80,"")</x:f>
        <x:v>0.21843472407062917</x:v>
      </x:c>
      <x:c r="J80" t="str">
        <x:f>IF(H80&gt;0,"Yes",IF(H80&lt;0,"No","Tie"))</x:f>
        <x:v>Yes</x:v>
      </x:c>
    </x:row>
    <x:row r="81">
      <x:c r="A81" t="str">
        <x:v>FreTS</x:v>
      </x:c>
      <x:c r="B81" t="str">
        <x:v>Exchange Rate</x:v>
      </x:c>
      <x:c r="C81" t="n">
        <x:v>720</x:v>
      </x:c>
      <x:c r="D81" t="str">
        <x:v>COSA-P</x:v>
      </x:c>
      <x:c r="E81" t="str">
        <x:v>Spectral</x:v>
      </x:c>
      <x:c r="F81" s="4" t="n">
        <x:v>0.4896686226129532</x:v>
      </x:c>
      <x:c r="G81" s="4" t="n">
        <x:v>0.32528071105480194</x:v>
      </x:c>
      <x:c r="H81" s="4" t="n">
        <x:f>IF(OR(F81="",G81=""),"",F81-G81)</x:f>
        <x:v>0.16438791155815125</x:v>
      </x:c>
      <x:c r="I81" s="5" t="n">
        <x:f>IFERROR(H81/F81,"")</x:f>
        <x:v>0.33571256961687684</x:v>
      </x:c>
      <x:c r="J81" t="str">
        <x:f>IF(H81&gt;0,"Yes",IF(H81&lt;0,"No","Tie"))</x:f>
        <x:v>Yes</x:v>
      </x:c>
    </x:row>
    <x:row r="82">
      <x:c r="A82" t="str">
        <x:v>FreTS</x:v>
      </x:c>
      <x:c r="B82" t="str">
        <x:v>weather</x:v>
      </x:c>
      <x:c r="C82" t="n">
        <x:v>96</x:v>
      </x:c>
      <x:c r="D82" t="str">
        <x:v>COSA-P</x:v>
      </x:c>
      <x:c r="E82" t="str">
        <x:v>Spectral</x:v>
      </x:c>
      <x:c r="F82" s="4" t="n">
        <x:v>0.17938250303268433</x:v>
      </x:c>
      <x:c r="G82" s="4" t="n">
        <x:v>0.1766328364610672</x:v>
      </x:c>
      <x:c r="H82" s="4" t="n">
        <x:f>IF(OR(F82="",G82=""),"",F82-G82)</x:f>
        <x:v>0.0027496665716171265</x:v>
      </x:c>
      <x:c r="I82" s="5" t="n">
        <x:f>IFERROR(H82/F82,"")</x:f>
        <x:v>0.015328510446284298</x:v>
      </x:c>
      <x:c r="J82" t="str">
        <x:f>IF(H82&gt;0,"Yes",IF(H82&lt;0,"No","Tie"))</x:f>
        <x:v>Yes</x:v>
      </x:c>
    </x:row>
    <x:row r="83">
      <x:c r="A83" t="str">
        <x:v>FreTS</x:v>
      </x:c>
      <x:c r="B83" t="str">
        <x:v>weather</x:v>
      </x:c>
      <x:c r="C83" t="n">
        <x:v>192</x:v>
      </x:c>
      <x:c r="D83" t="str">
        <x:v>COSA-P</x:v>
      </x:c>
      <x:c r="E83" t="str">
        <x:v>Spectral</x:v>
      </x:c>
      <x:c r="F83" s="4" t="n">
        <x:v>0.234613336622715</x:v>
      </x:c>
      <x:c r="G83" s="4" t="n">
        <x:v>0.21836638450622559</x:v>
      </x:c>
      <x:c r="H83" s="4" t="n">
        <x:f>IF(OR(F83="",G83=""),"",F83-G83)</x:f>
        <x:v>0.01624695211648941</x:v>
      </x:c>
      <x:c r="I83" s="5" t="n">
        <x:f>IFERROR(H83/F83,"")</x:f>
        <x:v>0.06924990859584577</x:v>
      </x:c>
      <x:c r="J83" t="str">
        <x:f>IF(H83&gt;0,"Yes",IF(H83&lt;0,"No","Tie"))</x:f>
        <x:v>Yes</x:v>
      </x:c>
    </x:row>
    <x:row r="84">
      <x:c r="A84" t="str">
        <x:v>FreTS</x:v>
      </x:c>
      <x:c r="B84" t="str">
        <x:v>weather</x:v>
      </x:c>
      <x:c r="C84" t="n">
        <x:v>336</x:v>
      </x:c>
      <x:c r="D84" t="str">
        <x:v>COSA-P</x:v>
      </x:c>
      <x:c r="E84" t="str">
        <x:v>Spectral</x:v>
      </x:c>
      <x:c r="F84" s="4" t="n">
        <x:v>0.3340434283018112</x:v>
      </x:c>
      <x:c r="G84" s="4" t="n">
        <x:v>0.2382035031914711</x:v>
      </x:c>
      <x:c r="H84" s="4" t="n">
        <x:f>IF(OR(F84="",G84=""),"",F84-G84)</x:f>
        <x:v>0.09583992511034012</x:v>
      </x:c>
      <x:c r="I84" s="5" t="n">
        <x:f>IFERROR(H84/F84,"")</x:f>
        <x:v>0.28690857831739136</x:v>
      </x:c>
      <x:c r="J84" t="str">
        <x:f>IF(H84&gt;0,"Yes",IF(H84&lt;0,"No","Tie"))</x:f>
        <x:v>Yes</x:v>
      </x:c>
    </x:row>
    <x:row r="85">
      <x:c r="A85" t="str">
        <x:v>FreTS</x:v>
      </x:c>
      <x:c r="B85" t="str">
        <x:v>weather</x:v>
      </x:c>
      <x:c r="C85" t="n">
        <x:v>720</x:v>
      </x:c>
      <x:c r="D85" t="str">
        <x:v>COSA-P</x:v>
      </x:c>
      <x:c r="E85" t="str">
        <x:v>Spectral</x:v>
      </x:c>
      <x:c r="F85" s="4" t="n">
        <x:v>0.3678760379552841</x:v>
      </x:c>
      <x:c r="G85" s="4" t="n">
        <x:v>0.22467390447854996</x:v>
      </x:c>
      <x:c r="H85" s="4" t="n">
        <x:f>IF(OR(F85="",G85=""),"",F85-G85)</x:f>
        <x:v>0.14320213347673416</x:v>
      </x:c>
      <x:c r="I85" s="5" t="n">
        <x:f>IFERROR(H85/F85,"")</x:f>
        <x:v>0.3892673583000277</x:v>
      </x:c>
      <x:c r="J85" t="str">
        <x:f>IF(H85&gt;0,"Yes",IF(H85&lt;0,"No","Tie"))</x:f>
        <x:v>Yes</x:v>
      </x:c>
    </x:row>
    <x:row r="86">
      <x:c r="A86" t="str">
        <x:v>FreTS</x:v>
      </x:c>
      <x:c r="B86" t="str">
        <x:v>electricity</x:v>
      </x:c>
      <x:c r="C86" t="n">
        <x:v>96</x:v>
      </x:c>
      <x:c r="D86" t="str">
        <x:v>COSA-P</x:v>
      </x:c>
      <x:c r="E86" t="str">
        <x:v>Spectral</x:v>
      </x:c>
      <x:c r="F86" s="4" t="n">
        <x:v>0.18812623620033264</x:v>
      </x:c>
      <x:c r="G86" s="4" t="n">
        <x:v>0.18788261711597443</x:v>
      </x:c>
      <x:c r="H86" s="4" t="n">
        <x:f>IF(OR(F86="",G86=""),"",F86-G86)</x:f>
        <x:v>0.00024361908435821533</x:v>
      </x:c>
      <x:c r="I86" s="5" t="n">
        <x:f>IFERROR(H86/F86,"")</x:f>
        <x:v>0.001294976656519026</x:v>
      </x:c>
      <x:c r="J86" t="str">
        <x:f>IF(H86&gt;0,"Yes",IF(H86&lt;0,"No","Tie"))</x:f>
        <x:v>Yes</x:v>
      </x:c>
    </x:row>
    <x:row r="87">
      <x:c r="A87" t="str">
        <x:v>FreTS</x:v>
      </x:c>
      <x:c r="B87" t="str">
        <x:v>electricity</x:v>
      </x:c>
      <x:c r="C87" t="n">
        <x:v>192</x:v>
      </x:c>
      <x:c r="D87" t="str">
        <x:v>COSA-P</x:v>
      </x:c>
      <x:c r="E87" t="str">
        <x:v>Spectral</x:v>
      </x:c>
      <x:c r="F87" s="4" t="n">
        <x:v>0.18934444089730582</x:v>
      </x:c>
      <x:c r="G87" s="4" t="n">
        <x:v>0.18856987853844961</x:v>
      </x:c>
      <x:c r="H87" s="4" t="n">
        <x:f>IF(OR(F87="",G87=""),"",F87-G87)</x:f>
        <x:v>0.0007745623588562012</x:v>
      </x:c>
      <x:c r="I87" s="5" t="n">
        <x:f>IFERROR(H87/F87,"")</x:f>
        <x:v>0.0040907583829001785</x:v>
      </x:c>
      <x:c r="J87" t="str">
        <x:f>IF(H87&gt;0,"Yes",IF(H87&lt;0,"No","Tie"))</x:f>
        <x:v>Yes</x:v>
      </x:c>
    </x:row>
    <x:row r="88">
      <x:c r="A88" t="str">
        <x:v>FreTS</x:v>
      </x:c>
      <x:c r="B88" t="str">
        <x:v>electricity</x:v>
      </x:c>
      <x:c r="C88" t="n">
        <x:v>336</x:v>
      </x:c>
      <x:c r="D88" t="str">
        <x:v>COSA-P</x:v>
      </x:c>
      <x:c r="E88" t="str">
        <x:v>Spectral</x:v>
      </x:c>
      <x:c r="F88" s="4" t="n">
        <x:v>0.19832178950309753</x:v>
      </x:c>
      <x:c r="G88" s="4" t="n">
        <x:v>0.19837614397207895</x:v>
      </x:c>
      <x:c r="H88" s="4" t="n">
        <x:f>IF(OR(F88="",G88=""),"",F88-G88)</x:f>
        <x:v>-0.000054354468981415716</x:v>
      </x:c>
      <x:c r="I88" s="5" t="n">
        <x:f>IFERROR(H88/F88,"")</x:f>
        <x:v>-0.00027407209826818736</x:v>
      </x:c>
      <x:c r="J88" t="str">
        <x:f>IF(H88&gt;0,"Yes",IF(H88&lt;0,"No","Tie"))</x:f>
        <x:v>No</x:v>
      </x:c>
    </x:row>
    <x:row r="89">
      <x:c r="A89" t="str">
        <x:v>FreTS</x:v>
      </x:c>
      <x:c r="B89" t="str">
        <x:v>electricity</x:v>
      </x:c>
      <x:c r="C89" t="n">
        <x:v>720</x:v>
      </x:c>
      <x:c r="D89" t="str">
        <x:v>COSA-P</x:v>
      </x:c>
      <x:c r="E89" t="str">
        <x:v>Spectral</x:v>
      </x:c>
      <x:c r="F89" s="4" t="n">
        <x:v>0.22500399748484293</x:v>
      </x:c>
      <x:c r="G89" s="4" t="n">
        <x:v>0.21156437695026398</x:v>
      </x:c>
      <x:c r="H89" s="4" t="n">
        <x:f>IF(OR(F89="",G89=""),"",F89-G89)</x:f>
        <x:v>0.01343962053457895</x:v>
      </x:c>
      <x:c r="I89" s="5" t="n">
        <x:f>IFERROR(H89/F89,"")</x:f>
        <x:v>0.05973058561097027</x:v>
      </x:c>
      <x:c r="J89" t="str">
        <x:f>IF(H89&gt;0,"Yes",IF(H89&lt;0,"No","Tie"))</x:f>
        <x:v>Yes</x:v>
      </x:c>
    </x:row>
    <x:row r="90">
      <x:c r="A90" t="str">
        <x:v>PatchTST</x:v>
      </x:c>
      <x:c r="B90" t="str">
        <x:v>ETTh1</x:v>
      </x:c>
      <x:c r="C90" t="n">
        <x:v>96</x:v>
      </x:c>
      <x:c r="D90" t="str">
        <x:v>COSA-P</x:v>
      </x:c>
      <x:c r="E90" t="str">
        <x:v>Spectral</x:v>
      </x:c>
      <x:c r="F90" s="4" t="n">
        <x:v>0.4247053066889445</x:v>
      </x:c>
      <x:c r="G90" s="4" t="n">
        <x:v>0.4093315005302429</x:v>
      </x:c>
      <x:c r="H90" s="4" t="n">
        <x:f>IF(OR(F90="",G90=""),"",F90-G90)</x:f>
        <x:v>0.015373806158701597</x:v>
      </x:c>
      <x:c r="I90" s="5" t="n">
        <x:f>IFERROR(H90/F90,"")</x:f>
        <x:v>0.0361987616273451</x:v>
      </x:c>
      <x:c r="J90" t="str">
        <x:f>IF(H90&gt;0,"Yes",IF(H90&lt;0,"No","Tie"))</x:f>
        <x:v>Yes</x:v>
      </x:c>
    </x:row>
    <x:row r="91">
      <x:c r="A91" t="str">
        <x:v>PatchTST</x:v>
      </x:c>
      <x:c r="B91" t="str">
        <x:v>ETTh1</x:v>
      </x:c>
      <x:c r="C91" t="n">
        <x:v>192</x:v>
      </x:c>
      <x:c r="D91" t="str">
        <x:v>COSA-P</x:v>
      </x:c>
      <x:c r="E91" t="str">
        <x:v>Spectral</x:v>
      </x:c>
      <x:c r="F91" s="4" t="n">
        <x:v>0.49522096912066144</x:v>
      </x:c>
      <x:c r="G91" s="4" t="n">
        <x:v>0.4727175732453664</x:v>
      </x:c>
      <x:c r="H91" s="4" t="n">
        <x:f>IF(OR(F91="",G91=""),"",F91-G91)</x:f>
        <x:v>0.02250339587529504</x:v>
      </x:c>
      <x:c r="I91" s="5" t="n">
        <x:f>IFERROR(H91/F91,"")</x:f>
        <x:v>0.045441120789479435</x:v>
      </x:c>
      <x:c r="J91" t="str">
        <x:f>IF(H91&gt;0,"Yes",IF(H91&lt;0,"No","Tie"))</x:f>
        <x:v>Yes</x:v>
      </x:c>
    </x:row>
    <x:row r="92">
      <x:c r="A92" t="str">
        <x:v>PatchTST</x:v>
      </x:c>
      <x:c r="B92" t="str">
        <x:v>ETTh1</x:v>
      </x:c>
      <x:c r="C92" t="n">
        <x:v>336</x:v>
      </x:c>
      <x:c r="D92" t="str">
        <x:v>COSA-P</x:v>
      </x:c>
      <x:c r="E92" t="str">
        <x:v>Spectral</x:v>
      </x:c>
      <x:c r="F92" s="4" t="n">
        <x:v>0.5162452658017477</x:v>
      </x:c>
      <x:c r="G92" s="4" t="n">
        <x:v>0.5285506049791971</x:v>
      </x:c>
      <x:c r="H92" s="4" t="n">
        <x:f>IF(OR(F92="",G92=""),"",F92-G92)</x:f>
        <x:v>-0.01230533917744947</x:v>
      </x:c>
      <x:c r="I92" s="5" t="n">
        <x:f>IFERROR(H92/F92,"")</x:f>
        <x:v>-0.023836226678686984</x:v>
      </x:c>
      <x:c r="J92" t="str">
        <x:f>IF(H92&gt;0,"Yes",IF(H92&lt;0,"No","Tie"))</x:f>
        <x:v>No</x:v>
      </x:c>
    </x:row>
    <x:row r="93">
      <x:c r="A93" t="str">
        <x:v>PatchTST</x:v>
      </x:c>
      <x:c r="B93" t="str">
        <x:v>ETTh1</x:v>
      </x:c>
      <x:c r="C93" t="n">
        <x:v>720</x:v>
      </x:c>
      <x:c r="D93" t="str">
        <x:v>COSA-P</x:v>
      </x:c>
      <x:c r="E93" t="str">
        <x:v>Spectral</x:v>
      </x:c>
      <x:c r="F93" s="4" t="n">
        <x:v>0.6058636903762817</x:v>
      </x:c>
      <x:c r="G93" s="4" t="n">
        <x:v>0.5952693422635397</x:v>
      </x:c>
      <x:c r="H93" s="4" t="n">
        <x:f>IF(OR(F93="",G93=""),"",F93-G93)</x:f>
        <x:v>0.010594348112742069</x:v>
      </x:c>
      <x:c r="I93" s="5" t="n">
        <x:f>IFERROR(H93/F93,"")</x:f>
        <x:v>0.017486355893290572</x:v>
      </x:c>
      <x:c r="J93" t="str">
        <x:f>IF(H93&gt;0,"Yes",IF(H93&lt;0,"No","Tie"))</x:f>
        <x:v>Yes</x:v>
      </x:c>
    </x:row>
    <x:row r="94">
      <x:c r="A94" t="str">
        <x:v>PatchTST</x:v>
      </x:c>
      <x:c r="B94" t="str">
        <x:v>ETTh2</x:v>
      </x:c>
      <x:c r="C94" t="n">
        <x:v>96</x:v>
      </x:c>
      <x:c r="D94" t="str">
        <x:v>COSA-P</x:v>
      </x:c>
      <x:c r="E94" t="str">
        <x:v>Spectral</x:v>
      </x:c>
      <x:c r="F94" s="4" t="n">
        <x:v>0.18623617788155875</x:v>
      </x:c>
      <x:c r="G94" s="4" t="n">
        <x:v>0.18730342388153076</x:v>
      </x:c>
      <x:c r="H94" s="4" t="n">
        <x:f>IF(OR(F94="",G94=""),"",F94-G94)</x:f>
        <x:v>-0.0010672459999720163</x:v>
      </x:c>
      <x:c r="I94" s="5" t="n">
        <x:f>IFERROR(H94/F94,"")</x:f>
        <x:v>-0.005730605149396678</x:v>
      </x:c>
      <x:c r="J94" t="str">
        <x:f>IF(H94&gt;0,"Yes",IF(H94&lt;0,"No","Tie"))</x:f>
        <x:v>No</x:v>
      </x:c>
    </x:row>
    <x:row r="95">
      <x:c r="A95" t="str">
        <x:v>PatchTST</x:v>
      </x:c>
      <x:c r="B95" t="str">
        <x:v>ETTh2</x:v>
      </x:c>
      <x:c r="C95" t="n">
        <x:v>192</x:v>
      </x:c>
      <x:c r="D95" t="str">
        <x:v>COSA-P</x:v>
      </x:c>
      <x:c r="E95" t="str">
        <x:v>Spectral</x:v>
      </x:c>
      <x:c r="F95" s="4" t="n">
        <x:v>0.2334043582280477</x:v>
      </x:c>
      <x:c r="G95" s="4" t="n">
        <x:v>0.23807235062122345</x:v>
      </x:c>
      <x:c r="H95" s="4" t="n">
        <x:f>IF(OR(F95="",G95=""),"",F95-G95)</x:f>
        <x:v>-0.004667992393175752</x:v>
      </x:c>
      <x:c r="I95" s="5" t="n">
        <x:f>IFERROR(H95/F95,"")</x:f>
        <x:v>-0.019999593960515896</x:v>
      </x:c>
      <x:c r="J95" t="str">
        <x:f>IF(H95&gt;0,"Yes",IF(H95&lt;0,"No","Tie"))</x:f>
        <x:v>No</x:v>
      </x:c>
    </x:row>
    <x:row r="96">
      <x:c r="A96" t="str">
        <x:v>PatchTST</x:v>
      </x:c>
      <x:c r="B96" t="str">
        <x:v>ETTh2</x:v>
      </x:c>
      <x:c r="C96" t="n">
        <x:v>336</x:v>
      </x:c>
      <x:c r="D96" t="str">
        <x:v>COSA-P</x:v>
      </x:c>
      <x:c r="E96" t="str">
        <x:v>Spectral</x:v>
      </x:c>
      <x:c r="F96" s="4" t="n">
        <x:v>0.25970516602198285</x:v>
      </x:c>
      <x:c r="G96" s="4" t="n">
        <x:v>0.2528233875830968</x:v>
      </x:c>
      <x:c r="H96" s="4" t="n">
        <x:f>IF(OR(F96="",G96=""),"",F96-G96)</x:f>
        <x:v>0.006881778438886044</x:v>
      </x:c>
      <x:c r="I96" s="5" t="n">
        <x:f>IFERROR(H96/F96,"")</x:f>
        <x:v>0.026498427213818045</x:v>
      </x:c>
      <x:c r="J96" t="str">
        <x:f>IF(H96&gt;0,"Yes",IF(H96&lt;0,"No","Tie"))</x:f>
        <x:v>Yes</x:v>
      </x:c>
    </x:row>
    <x:row r="97">
      <x:c r="A97" t="str">
        <x:v>PatchTST</x:v>
      </x:c>
      <x:c r="B97" t="str">
        <x:v>ETTh2</x:v>
      </x:c>
      <x:c r="C97" t="n">
        <x:v>720</x:v>
      </x:c>
      <x:c r="D97" t="str">
        <x:v>COSA-P</x:v>
      </x:c>
      <x:c r="E97" t="str">
        <x:v>Spectral</x:v>
      </x:c>
      <x:c r="F97" s="4" t="n">
        <x:v>0.28287429610888165</x:v>
      </x:c>
      <x:c r="G97" s="4" t="n">
        <x:v>0.2822403808434804</x:v>
      </x:c>
      <x:c r="H97" s="4" t="n">
        <x:f>IF(OR(F97="",G97=""),"",F97-G97)</x:f>
        <x:v>0.0006339152654012414</x:v>
      </x:c>
      <x:c r="I97" s="5" t="n">
        <x:f>IFERROR(H97/F97,"")</x:f>
        <x:v>0.0022409786754086698</x:v>
      </x:c>
      <x:c r="J97" t="str">
        <x:f>IF(H97&gt;0,"Yes",IF(H97&lt;0,"No","Tie"))</x:f>
        <x:v>Yes</x:v>
      </x:c>
    </x:row>
    <x:row r="98">
      <x:c r="A98" t="str">
        <x:v>PatchTST</x:v>
      </x:c>
      <x:c r="B98" t="str">
        <x:v>ETTm1</x:v>
      </x:c>
      <x:c r="C98" t="n">
        <x:v>96</x:v>
      </x:c>
      <x:c r="D98" t="str">
        <x:v>COSA-P</x:v>
      </x:c>
      <x:c r="E98" t="str">
        <x:v>Spectral</x:v>
      </x:c>
      <x:c r="F98" s="4" t="n">
        <x:v>0.36621227860450745</x:v>
      </x:c>
      <x:c r="G98" s="4" t="n">
        <x:v>0.3566473027070363</x:v>
      </x:c>
      <x:c r="H98" s="4" t="n">
        <x:f>IF(OR(F98="",G98=""),"",F98-G98)</x:f>
        <x:v>0.009564975897471129</x:v>
      </x:c>
      <x:c r="I98" s="5" t="n">
        <x:f>IFERROR(H98/F98,"")</x:f>
        <x:v>0.0261186652012858</x:v>
      </x:c>
      <x:c r="J98" t="str">
        <x:f>IF(H98&gt;0,"Yes",IF(H98&lt;0,"No","Tie"))</x:f>
        <x:v>Yes</x:v>
      </x:c>
    </x:row>
    <x:row r="99">
      <x:c r="A99" t="str">
        <x:v>PatchTST</x:v>
      </x:c>
      <x:c r="B99" t="str">
        <x:v>ETTm1</x:v>
      </x:c>
      <x:c r="C99" t="n">
        <x:v>192</x:v>
      </x:c>
      <x:c r="D99" t="str">
        <x:v>COSA-P</x:v>
      </x:c>
      <x:c r="E99" t="str">
        <x:v>Spectral</x:v>
      </x:c>
      <x:c r="F99" s="4" t="n">
        <x:v>0.42237961292266846</x:v>
      </x:c>
      <x:c r="G99" s="4" t="n">
        <x:v>0.4113490382830302</x:v>
      </x:c>
      <x:c r="H99" s="4" t="n">
        <x:f>IF(OR(F99="",G99=""),"",F99-G99)</x:f>
        <x:v>0.011030574639638246</x:v>
      </x:c>
      <x:c r="I99" s="5" t="n">
        <x:f>IFERROR(H99/F99,"")</x:f>
        <x:v>0.026115310261572173</x:v>
      </x:c>
      <x:c r="J99" t="str">
        <x:f>IF(H99&gt;0,"Yes",IF(H99&lt;0,"No","Tie"))</x:f>
        <x:v>Yes</x:v>
      </x:c>
    </x:row>
    <x:row r="100">
      <x:c r="A100" t="str">
        <x:v>PatchTST</x:v>
      </x:c>
      <x:c r="B100" t="str">
        <x:v>ETTm1</x:v>
      </x:c>
      <x:c r="C100" t="n">
        <x:v>336</x:v>
      </x:c>
      <x:c r="D100" t="str">
        <x:v>COSA-P</x:v>
      </x:c>
      <x:c r="E100" t="str">
        <x:v>Spectral</x:v>
      </x:c>
      <x:c r="F100" s="4" t="n">
        <x:v>0.49631453553835553</x:v>
      </x:c>
      <x:c r="G100" s="4" t="n">
        <x:v>0.4641507565975189</x:v>
      </x:c>
      <x:c r="H100" s="4" t="n">
        <x:f>IF(OR(F100="",G100=""),"",F100-G100)</x:f>
        <x:v>0.03216377894083661</x:v>
      </x:c>
      <x:c r="I100" s="5" t="n">
        <x:f>IFERROR(H100/F100,"")</x:f>
        <x:v>0.06480523264535937</x:v>
      </x:c>
      <x:c r="J100" t="str">
        <x:f>IF(H100&gt;0,"Yes",IF(H100&lt;0,"No","Tie"))</x:f>
        <x:v>Yes</x:v>
      </x:c>
    </x:row>
    <x:row r="101">
      <x:c r="A101" t="str">
        <x:v>PatchTST</x:v>
      </x:c>
      <x:c r="B101" t="str">
        <x:v>ETTm1</x:v>
      </x:c>
      <x:c r="C101" t="n">
        <x:v>720</x:v>
      </x:c>
      <x:c r="D101" t="str">
        <x:v>COSA-P</x:v>
      </x:c>
      <x:c r="E101" t="str">
        <x:v>Spectral</x:v>
      </x:c>
      <x:c r="F101" s="4" t="n">
        <x:v>0.5604209502538046</x:v>
      </x:c>
      <x:c r="G101" s="4" t="n">
        <x:v>0.46276913086573285</x:v>
      </x:c>
      <x:c r="H101" s="4" t="n">
        <x:f>IF(OR(F101="",G101=""),"",F101-G101)</x:f>
        <x:v>0.09765181938807171</x:v>
      </x:c>
      <x:c r="I101" s="5" t="n">
        <x:f>IFERROR(H101/F101,"")</x:f>
        <x:v>0.17424726777942004</x:v>
      </x:c>
      <x:c r="J101" t="str">
        <x:f>IF(H101&gt;0,"Yes",IF(H101&lt;0,"No","Tie"))</x:f>
        <x:v>Yes</x:v>
      </x:c>
    </x:row>
    <x:row r="102">
      <x:c r="A102" t="str">
        <x:v>PatchTST</x:v>
      </x:c>
      <x:c r="B102" t="str">
        <x:v>ETTm2</x:v>
      </x:c>
      <x:c r="C102" t="n">
        <x:v>96</x:v>
      </x:c>
      <x:c r="D102" t="str">
        <x:v>COSA-P</x:v>
      </x:c>
      <x:c r="E102" t="str">
        <x:v>Spectral</x:v>
      </x:c>
      <x:c r="F102" s="4" t="n">
        <x:v>0.11984926710526149</x:v>
      </x:c>
      <x:c r="G102" s="4" t="n">
        <x:v>0.12053919086853664</x:v>
      </x:c>
      <x:c r="H102" s="4" t="n">
        <x:f>IF(OR(F102="",G102=""),"",F102-G102)</x:f>
        <x:v>-0.0006899237632751465</x:v>
      </x:c>
      <x:c r="I102" s="5" t="n">
        <x:f>IFERROR(H102/F102,"")</x:f>
        <x:v>-0.005756595596610521</x:v>
      </x:c>
      <x:c r="J102" t="str">
        <x:f>IF(H102&gt;0,"Yes",IF(H102&lt;0,"No","Tie"))</x:f>
        <x:v>No</x:v>
      </x:c>
    </x:row>
    <x:row r="103">
      <x:c r="A103" t="str">
        <x:v>PatchTST</x:v>
      </x:c>
      <x:c r="B103" t="str">
        <x:v>ETTm2</x:v>
      </x:c>
      <x:c r="C103" t="n">
        <x:v>192</x:v>
      </x:c>
      <x:c r="D103" t="str">
        <x:v>COSA-P</x:v>
      </x:c>
      <x:c r="E103" t="str">
        <x:v>Spectral</x:v>
      </x:c>
      <x:c r="F103" s="4" t="n">
        <x:v>0.15923341612021127</x:v>
      </x:c>
      <x:c r="G103" s="4" t="n">
        <x:v>0.16304603715737662</x:v>
      </x:c>
      <x:c r="H103" s="4" t="n">
        <x:f>IF(OR(F103="",G103=""),"",F103-G103)</x:f>
        <x:v>-0.0038126210371653424</x:v>
      </x:c>
      <x:c r="I103" s="5" t="n">
        <x:f>IFERROR(H103/F103,"")</x:f>
        <x:v>-0.023943598837866117</x:v>
      </x:c>
      <x:c r="J103" t="str">
        <x:f>IF(H103&gt;0,"Yes",IF(H103&lt;0,"No","Tie"))</x:f>
        <x:v>No</x:v>
      </x:c>
    </x:row>
    <x:row r="104">
      <x:c r="A104" t="str">
        <x:v>PatchTST</x:v>
      </x:c>
      <x:c r="B104" t="str">
        <x:v>ETTm2</x:v>
      </x:c>
      <x:c r="C104" t="n">
        <x:v>336</x:v>
      </x:c>
      <x:c r="D104" t="str">
        <x:v>COSA-P</x:v>
      </x:c>
      <x:c r="E104" t="str">
        <x:v>Spectral</x:v>
      </x:c>
      <x:c r="F104" s="4" t="n">
        <x:v>0.2025447835524877</x:v>
      </x:c>
      <x:c r="G104" s="4" t="n">
        <x:v>0.1698567420244217</x:v>
      </x:c>
      <x:c r="H104" s="4" t="n">
        <x:f>IF(OR(F104="",G104=""),"",F104-G104)</x:f>
        <x:v>0.03268804152806601</x:v>
      </x:c>
      <x:c r="I104" s="5" t="n">
        <x:f>IFERROR(H104/F104,"")</x:f>
        <x:v>0.16138673608246834</x:v>
      </x:c>
      <x:c r="J104" t="str">
        <x:f>IF(H104&gt;0,"Yes",IF(H104&lt;0,"No","Tie"))</x:f>
        <x:v>Yes</x:v>
      </x:c>
    </x:row>
    <x:row r="105">
      <x:c r="A105" t="str">
        <x:v>PatchTST</x:v>
      </x:c>
      <x:c r="B105" t="str">
        <x:v>ETTm2</x:v>
      </x:c>
      <x:c r="C105" t="n">
        <x:v>720</x:v>
      </x:c>
      <x:c r="D105" t="str">
        <x:v>COSA-P</x:v>
      </x:c>
      <x:c r="E105" t="str">
        <x:v>Spectral</x:v>
      </x:c>
      <x:c r="F105" s="4" t="n">
        <x:v>0.24375500281651816</x:v>
      </x:c>
      <x:c r="G105" s="4" t="n">
        <x:v>0.1822761446237564</x:v>
      </x:c>
      <x:c r="H105" s="4" t="n">
        <x:f>IF(OR(F105="",G105=""),"",F105-G105)</x:f>
        <x:v>0.06147885819276175</x:v>
      </x:c>
      <x:c r="I105" s="5" t="n">
        <x:f>IFERROR(H105/F105,"")</x:f>
        <x:v>0.2522157801168855</x:v>
      </x:c>
      <x:c r="J105" t="str">
        <x:f>IF(H105&gt;0,"Yes",IF(H105&lt;0,"No","Tie"))</x:f>
        <x:v>Yes</x:v>
      </x:c>
    </x:row>
    <x:row r="106">
      <x:c r="A106" t="str">
        <x:v>PatchTST</x:v>
      </x:c>
      <x:c r="B106" t="str">
        <x:v>Exchange Rate</x:v>
      </x:c>
      <x:c r="C106" t="n">
        <x:v>96</x:v>
      </x:c>
      <x:c r="D106" t="str">
        <x:v>COSA-P</x:v>
      </x:c>
      <x:c r="E106" t="str">
        <x:v>Spectral</x:v>
      </x:c>
      <x:c r="F106" s="4" t="n">
        <x:v>0.0814393162727356</x:v>
      </x:c>
      <x:c r="G106" s="4" t="n">
        <x:v>0.08166203151146571</x:v>
      </x:c>
      <x:c r="H106" s="4" t="n">
        <x:f>IF(OR(F106="",G106=""),"",F106-G106)</x:f>
        <x:v>-0.00022271523873011734</x:v>
      </x:c>
      <x:c r="I106" s="5" t="n">
        <x:f>IFERROR(H106/F106,"")</x:f>
        <x:v>-0.0027347385626895096</x:v>
      </x:c>
      <x:c r="J106" t="str">
        <x:f>IF(H106&gt;0,"Yes",IF(H106&lt;0,"No","Tie"))</x:f>
        <x:v>No</x:v>
      </x:c>
    </x:row>
    <x:row r="107">
      <x:c r="A107" t="str">
        <x:v>PatchTST</x:v>
      </x:c>
      <x:c r="B107" t="str">
        <x:v>Exchange Rate</x:v>
      </x:c>
      <x:c r="C107" t="n">
        <x:v>192</x:v>
      </x:c>
      <x:c r="D107" t="str">
        <x:v>COSA-P</x:v>
      </x:c>
      <x:c r="E107" t="str">
        <x:v>Spectral</x:v>
      </x:c>
      <x:c r="F107" s="4" t="n">
        <x:v>0.1621133287747701</x:v>
      </x:c>
      <x:c r="G107" s="4" t="n">
        <x:v>0.15143700937430063</x:v>
      </x:c>
      <x:c r="H107" s="4" t="n">
        <x:f>IF(OR(F107="",G107=""),"",F107-G107)</x:f>
        <x:v>0.01067631940046948</x:v>
      </x:c>
      <x:c r="I107" s="5" t="n">
        <x:f>IFERROR(H107/F107,"")</x:f>
        <x:v>0.06585713513601633</x:v>
      </x:c>
      <x:c r="J107" t="str">
        <x:f>IF(H107&gt;0,"Yes",IF(H107&lt;0,"No","Tie"))</x:f>
        <x:v>Yes</x:v>
      </x:c>
    </x:row>
    <x:row r="108">
      <x:c r="A108" t="str">
        <x:v>PatchTST</x:v>
      </x:c>
      <x:c r="B108" t="str">
        <x:v>Exchange Rate</x:v>
      </x:c>
      <x:c r="C108" t="n">
        <x:v>336</x:v>
      </x:c>
      <x:c r="D108" t="str">
        <x:v>COSA-P</x:v>
      </x:c>
      <x:c r="E108" t="str">
        <x:v>Spectral</x:v>
      </x:c>
      <x:c r="F108" s="4" t="n">
        <x:v>0.2963170011838277</x:v>
      </x:c>
      <x:c r="G108" s="4" t="n">
        <x:v>0.2376514325539271</x:v>
      </x:c>
      <x:c r="H108" s="4" t="n">
        <x:f>IF(OR(F108="",G108=""),"",F108-G108)</x:f>
        <x:v>0.058665568629900605</x:v>
      </x:c>
      <x:c r="I108" s="5" t="n">
        <x:f>IFERROR(H108/F108,"")</x:f>
        <x:v>0.19798245931054745</x:v>
      </x:c>
      <x:c r="J108" t="str">
        <x:f>IF(H108&gt;0,"Yes",IF(H108&lt;0,"No","Tie"))</x:f>
        <x:v>Yes</x:v>
      </x:c>
    </x:row>
    <x:row r="109">
      <x:c r="A109" t="str">
        <x:v>PatchTST</x:v>
      </x:c>
      <x:c r="B109" t="str">
        <x:v>Exchange Rate</x:v>
      </x:c>
      <x:c r="C109" t="n">
        <x:v>720</x:v>
      </x:c>
      <x:c r="D109" t="str">
        <x:v>COSA-P</x:v>
      </x:c>
      <x:c r="E109" t="str">
        <x:v>Spectral</x:v>
      </x:c>
      <x:c r="F109" s="4" t="n">
        <x:v>0.5186618566513062</x:v>
      </x:c>
      <x:c r="G109" s="4" t="n">
        <x:v>0.3424577514330546</x:v>
      </x:c>
      <x:c r="H109" s="4" t="n">
        <x:f>IF(OR(F109="",G109=""),"",F109-G109)</x:f>
        <x:v>0.17620410521825153</x:v>
      </x:c>
      <x:c r="I109" s="5" t="n">
        <x:f>IFERROR(H109/F109,"")</x:f>
        <x:v>0.3397282891707086</x:v>
      </x:c>
      <x:c r="J109" t="str">
        <x:f>IF(H109&gt;0,"Yes",IF(H109&lt;0,"No","Tie"))</x:f>
        <x:v>Yes</x:v>
      </x:c>
    </x:row>
    <x:row r="110">
      <x:c r="A110" t="str">
        <x:v>PatchTST</x:v>
      </x:c>
      <x:c r="B110" t="str">
        <x:v>weather</x:v>
      </x:c>
      <x:c r="C110" t="n">
        <x:v>96</x:v>
      </x:c>
      <x:c r="D110" t="str">
        <x:v>COSA-P</x:v>
      </x:c>
      <x:c r="E110" t="str">
        <x:v>Spectral</x:v>
      </x:c>
      <x:c r="F110" s="4" t="n">
        <x:v>0.17009616394837698</x:v>
      </x:c>
      <x:c r="G110" s="4" t="n">
        <x:v>0.17009247342745462</x:v>
      </x:c>
      <x:c r="H110" s="4" t="n">
        <x:f>IF(OR(F110="",G110=""),"",F110-G110)</x:f>
        <x:v>0.00000369052092236144</x:v>
      </x:c>
      <x:c r="I110" s="5" t="n">
        <x:f>IFERROR(H110/F110,"")</x:f>
        <x:v>0.00002169667343868782</x:v>
      </x:c>
      <x:c r="J110" t="str">
        <x:f>IF(H110&gt;0,"Yes",IF(H110&lt;0,"No","Tie"))</x:f>
        <x:v>Yes</x:v>
      </x:c>
    </x:row>
    <x:row r="111">
      <x:c r="A111" t="str">
        <x:v>PatchTST</x:v>
      </x:c>
      <x:c r="B111" t="str">
        <x:v>weather</x:v>
      </x:c>
      <x:c r="C111" t="n">
        <x:v>192</x:v>
      </x:c>
      <x:c r="D111" t="str">
        <x:v>COSA-P</x:v>
      </x:c>
      <x:c r="E111" t="str">
        <x:v>Spectral</x:v>
      </x:c>
      <x:c r="F111" s="4" t="n">
        <x:v>0.2233190288146337</x:v>
      </x:c>
      <x:c r="G111" s="4" t="n">
        <x:v>0.21427654723326364</x:v>
      </x:c>
      <x:c r="H111" s="4" t="n">
        <x:f>IF(OR(F111="",G111=""),"",F111-G111)</x:f>
        <x:v>0.009042481581370054</x:v>
      </x:c>
      <x:c r="I111" s="5" t="n">
        <x:f>IFERROR(H111/F111,"")</x:f>
        <x:v>0.040491316970914196</x:v>
      </x:c>
      <x:c r="J111" t="str">
        <x:f>IF(H111&gt;0,"Yes",IF(H111&lt;0,"No","Tie"))</x:f>
        <x:v>Yes</x:v>
      </x:c>
    </x:row>
    <x:row r="112">
      <x:c r="A112" t="str">
        <x:v>PatchTST</x:v>
      </x:c>
      <x:c r="B112" t="str">
        <x:v>weather</x:v>
      </x:c>
      <x:c r="C112" t="n">
        <x:v>336</x:v>
      </x:c>
      <x:c r="D112" t="str">
        <x:v>COSA-P</x:v>
      </x:c>
      <x:c r="E112" t="str">
        <x:v>Spectral</x:v>
      </x:c>
      <x:c r="F112" s="4" t="n">
        <x:v>0.3303806285063426</x:v>
      </x:c>
      <x:c r="G112" s="4" t="n">
        <x:v>0.23618756234645844</x:v>
      </x:c>
      <x:c r="H112" s="4" t="n">
        <x:f>IF(OR(F112="",G112=""),"",F112-G112)</x:f>
        <x:v>0.09419306615988415</x:v>
      </x:c>
      <x:c r="I112" s="5" t="n">
        <x:f>IFERROR(H112/F112,"")</x:f>
        <x:v>0.28510468844899556</x:v>
      </x:c>
      <x:c r="J112" t="str">
        <x:f>IF(H112&gt;0,"Yes",IF(H112&lt;0,"No","Tie"))</x:f>
        <x:v>Yes</x:v>
      </x:c>
    </x:row>
    <x:row r="113">
      <x:c r="A113" t="str">
        <x:v>PatchTST</x:v>
      </x:c>
      <x:c r="B113" t="str">
        <x:v>weather</x:v>
      </x:c>
      <x:c r="C113" t="n">
        <x:v>720</x:v>
      </x:c>
      <x:c r="D113" t="str">
        <x:v>COSA-P</x:v>
      </x:c>
      <x:c r="E113" t="str">
        <x:v>Spectral</x:v>
      </x:c>
      <x:c r="F113" s="4" t="n">
        <x:v>0.3558332820733388</x:v>
      </x:c>
      <x:c r="G113" s="4" t="n">
        <x:v>0.22727694610754648</x:v>
      </x:c>
      <x:c r="H113" s="4" t="n">
        <x:f>IF(OR(F113="",G113=""),"",F113-G113)</x:f>
        <x:v>0.12855633596579233</x:v>
      </x:c>
      <x:c r="I113" s="5" t="n">
        <x:f>IFERROR(H113/F113,"")</x:f>
        <x:v>0.36128249504018095</x:v>
      </x:c>
      <x:c r="J113" t="str">
        <x:f>IF(H113&gt;0,"Yes",IF(H113&lt;0,"No","Tie"))</x:f>
        <x:v>Yes</x:v>
      </x:c>
    </x:row>
    <x:row r="114">
      <x:c r="A114" t="str">
        <x:v>OLS</x:v>
      </x:c>
      <x:c r="B114" t="str">
        <x:v>ETTh1</x:v>
      </x:c>
      <x:c r="C114" t="n">
        <x:v>96</x:v>
      </x:c>
      <x:c r="D114" t="str">
        <x:v>COSA-P</x:v>
      </x:c>
      <x:c r="E114" t="str">
        <x:v>Spectral</x:v>
      </x:c>
      <x:c r="F114" s="4" t="n">
        <x:v>0.4453522264957428</x:v>
      </x:c>
      <x:c r="G114" s="4" t="n">
        <x:v>0.4217393894990285</x:v>
      </x:c>
      <x:c r="H114" s="4" t="n">
        <x:f>IF(OR(F114="",G114=""),"",F114-G114)</x:f>
        <x:v>0.023612836996714293</x:v>
      </x:c>
      <x:c r="I114" s="5" t="n">
        <x:f>IFERROR(H114/F114,"")</x:f>
        <x:v>0.053020588181431294</x:v>
      </x:c>
      <x:c r="J114" t="str">
        <x:f>IF(H114&gt;0,"Yes",IF(H114&lt;0,"No","Tie"))</x:f>
        <x:v>Yes</x:v>
      </x:c>
    </x:row>
    <x:row r="115">
      <x:c r="A115" t="str">
        <x:v>OLS</x:v>
      </x:c>
      <x:c r="B115" t="str">
        <x:v>ETTh1</x:v>
      </x:c>
      <x:c r="C115" t="n">
        <x:v>192</x:v>
      </x:c>
      <x:c r="D115" t="str">
        <x:v>COSA-P</x:v>
      </x:c>
      <x:c r="E115" t="str">
        <x:v>Spectral</x:v>
      </x:c>
      <x:c r="F115" s="4" t="n">
        <x:v>0.5176496903101603</x:v>
      </x:c>
      <x:c r="G115" s="4" t="n">
        <x:v>0.49457697073618573</x:v>
      </x:c>
      <x:c r="H115" s="4" t="n">
        <x:f>IF(OR(F115="",G115=""),"",F115-G115)</x:f>
        <x:v>0.023072719573974554</x:v>
      </x:c>
      <x:c r="I115" s="5" t="n">
        <x:f>IFERROR(H115/F115,"")</x:f>
        <x:v>0.04457207259247092</x:v>
      </x:c>
      <x:c r="J115" t="str">
        <x:f>IF(H115&gt;0,"Yes",IF(H115&lt;0,"No","Tie"))</x:f>
        <x:v>Yes</x:v>
      </x:c>
    </x:row>
    <x:row r="116">
      <x:c r="A116" t="str">
        <x:v>OLS</x:v>
      </x:c>
      <x:c r="B116" t="str">
        <x:v>ETTh1</x:v>
      </x:c>
      <x:c r="C116" t="n">
        <x:v>336</x:v>
      </x:c>
      <x:c r="D116" t="str">
        <x:v>COSA-P</x:v>
      </x:c>
      <x:c r="E116" t="str">
        <x:v>Spectral</x:v>
      </x:c>
      <x:c r="F116" s="4" t="n">
        <x:v>0.5279630223910013</x:v>
      </x:c>
      <x:c r="G116" s="4" t="n">
        <x:v>0.5425710280736288</x:v>
      </x:c>
      <x:c r="H116" s="4" t="n">
        <x:f>IF(OR(F116="",G116=""),"",F116-G116)</x:f>
        <x:v>-0.014608005682627434</x:v>
      </x:c>
      <x:c r="I116" s="5" t="n">
        <x:f>IFERROR(H116/F116,"")</x:f>
        <x:v>-0.0276686151550382</x:v>
      </x:c>
      <x:c r="J116" t="str">
        <x:f>IF(H116&gt;0,"Yes",IF(H116&lt;0,"No","Tie"))</x:f>
        <x:v>No</x:v>
      </x:c>
    </x:row>
    <x:row r="117">
      <x:c r="A117" t="str">
        <x:v>OLS</x:v>
      </x:c>
      <x:c r="B117" t="str">
        <x:v>ETTh1</x:v>
      </x:c>
      <x:c r="C117" t="n">
        <x:v>720</x:v>
      </x:c>
      <x:c r="D117" t="str">
        <x:v>COSA-P</x:v>
      </x:c>
      <x:c r="E117" t="str">
        <x:v>Spectral</x:v>
      </x:c>
      <x:c r="F117" s="4" t="n">
        <x:v>0.586360494295756</x:v>
      </x:c>
      <x:c r="G117" s="4" t="n">
        <x:v>0.5759905974070231</x:v>
      </x:c>
      <x:c r="H117" s="4" t="n">
        <x:f>IF(OR(F117="",G117=""),"",F117-G117)</x:f>
        <x:v>0.01036989688873291</x:v>
      </x:c>
      <x:c r="I117" s="5" t="n">
        <x:f>IFERROR(H117/F117,"")</x:f>
        <x:v>0.017685190236404993</x:v>
      </x:c>
      <x:c r="J117" t="str">
        <x:f>IF(H117&gt;0,"Yes",IF(H117&lt;0,"No","Tie"))</x:f>
        <x:v>Yes</x:v>
      </x:c>
    </x:row>
    <x:row r="118">
      <x:c r="A118" t="str">
        <x:v>OLS</x:v>
      </x:c>
      <x:c r="B118" t="str">
        <x:v>ETTh2</x:v>
      </x:c>
      <x:c r="C118" t="n">
        <x:v>96</x:v>
      </x:c>
      <x:c r="D118" t="str">
        <x:v>COSA-P</x:v>
      </x:c>
      <x:c r="E118" t="str">
        <x:v>Spectral</x:v>
      </x:c>
      <x:c r="F118" s="4" t="n">
        <x:v>0.17890740931034088</x:v>
      </x:c>
      <x:c r="G118" s="4" t="n">
        <x:v>0.1771706442038218</x:v>
      </x:c>
      <x:c r="H118" s="4" t="n">
        <x:f>IF(OR(F118="",G118=""),"",F118-G118)</x:f>
        <x:v>0.0017367651065190726</x:v>
      </x:c>
      <x:c r="I118" s="5" t="n">
        <x:f>IFERROR(H118/F118,"")</x:f>
        <x:v>0.00970761978620126</x:v>
      </x:c>
      <x:c r="J118" t="str">
        <x:f>IF(H118&gt;0,"Yes",IF(H118&lt;0,"No","Tie"))</x:f>
        <x:v>Yes</x:v>
      </x:c>
    </x:row>
    <x:row r="119">
      <x:c r="A119" t="str">
        <x:v>OLS</x:v>
      </x:c>
      <x:c r="B119" t="str">
        <x:v>ETTh2</x:v>
      </x:c>
      <x:c r="C119" t="n">
        <x:v>192</x:v>
      </x:c>
      <x:c r="D119" t="str">
        <x:v>COSA-P</x:v>
      </x:c>
      <x:c r="E119" t="str">
        <x:v>Spectral</x:v>
      </x:c>
      <x:c r="F119" s="4" t="n">
        <x:v>0.23176731169223785</x:v>
      </x:c>
      <x:c r="G119" s="4" t="n">
        <x:v>0.22788567344347635</x:v>
      </x:c>
      <x:c r="H119" s="4" t="n">
        <x:f>IF(OR(F119="",G119=""),"",F119-G119)</x:f>
        <x:v>0.003881638248761504</x:v>
      </x:c>
      <x:c r="I119" s="5" t="n">
        <x:f>IFERROR(H119/F119,"")</x:f>
        <x:v>0.01674799703383497</x:v>
      </x:c>
      <x:c r="J119" t="str">
        <x:f>IF(H119&gt;0,"Yes",IF(H119&lt;0,"No","Tie"))</x:f>
        <x:v>Yes</x:v>
      </x:c>
    </x:row>
    <x:row r="120">
      <x:c r="A120" t="str">
        <x:v>OLS</x:v>
      </x:c>
      <x:c r="B120" t="str">
        <x:v>ETTh2</x:v>
      </x:c>
      <x:c r="C120" t="n">
        <x:v>336</x:v>
      </x:c>
      <x:c r="D120" t="str">
        <x:v>COSA-P</x:v>
      </x:c>
      <x:c r="E120" t="str">
        <x:v>Spectral</x:v>
      </x:c>
      <x:c r="F120" s="4" t="n">
        <x:v>0.25303077697753906</x:v>
      </x:c>
      <x:c r="G120" s="4" t="n">
        <x:v>0.24707179268201193</x:v>
      </x:c>
      <x:c r="H120" s="4" t="n">
        <x:f>IF(OR(F120="",G120=""),"",F120-G120)</x:f>
        <x:v>0.005958984295527131</x:v>
      </x:c>
      <x:c r="I120" s="5" t="n">
        <x:f>IFERROR(H120/F120,"")</x:f>
        <x:v>0.023550432744614682</x:v>
      </x:c>
      <x:c r="J120" t="str">
        <x:f>IF(H120&gt;0,"Yes",IF(H120&lt;0,"No","Tie"))</x:f>
        <x:v>Yes</x:v>
      </x:c>
    </x:row>
    <x:row r="121">
      <x:c r="A121" t="str">
        <x:v>OLS</x:v>
      </x:c>
      <x:c r="B121" t="str">
        <x:v>ETTh2</x:v>
      </x:c>
      <x:c r="C121" t="n">
        <x:v>720</x:v>
      </x:c>
      <x:c r="D121" t="str">
        <x:v>COSA-P</x:v>
      </x:c>
      <x:c r="E121" t="str">
        <x:v>Spectral</x:v>
      </x:c>
      <x:c r="F121" s="4" t="n">
        <x:v>0.2764197885990143</x:v>
      </x:c>
      <x:c r="G121" s="4" t="n">
        <x:v>0.2765376369158427</x:v>
      </x:c>
      <x:c r="H121" s="4" t="n">
        <x:f>IF(OR(F121="",G121=""),"",F121-G121)</x:f>
        <x:v>-0.00011784831682842833</x:v>
      </x:c>
      <x:c r="I121" s="5" t="n">
        <x:f>IFERROR(H121/F121,"")</x:f>
        <x:v>-0.00042633820619617023</x:v>
      </x:c>
      <x:c r="J121" t="str">
        <x:f>IF(H121&gt;0,"Yes",IF(H121&lt;0,"No","Tie"))</x:f>
        <x:v>No</x:v>
      </x:c>
    </x:row>
    <x:row r="122">
      <x:c r="A122" t="str">
        <x:v>OLS</x:v>
      </x:c>
      <x:c r="B122" t="str">
        <x:v>ETTm1</x:v>
      </x:c>
      <x:c r="C122" t="n">
        <x:v>96</x:v>
      </x:c>
      <x:c r="D122" t="str">
        <x:v>COSA-P</x:v>
      </x:c>
      <x:c r="E122" t="str">
        <x:v>Spectral</x:v>
      </x:c>
      <x:c r="F122" s="4" t="n">
        <x:v>0.3441750705242157</x:v>
      </x:c>
      <x:c r="G122" s="4" t="n">
        <x:v>0.33347979187965393</x:v>
      </x:c>
      <x:c r="H122" s="4" t="n">
        <x:f>IF(OR(F122="",G122=""),"",F122-G122)</x:f>
        <x:v>0.010695278644561768</x:v>
      </x:c>
      <x:c r="I122" s="5" t="n">
        <x:f>IFERROR(H122/F122,"")</x:f>
        <x:v>0.031075111361992914</x:v>
      </x:c>
      <x:c r="J122" t="str">
        <x:f>IF(H122&gt;0,"Yes",IF(H122&lt;0,"No","Tie"))</x:f>
        <x:v>Yes</x:v>
      </x:c>
    </x:row>
    <x:row r="123">
      <x:c r="A123" t="str">
        <x:v>OLS</x:v>
      </x:c>
      <x:c r="B123" t="str">
        <x:v>ETTm1</x:v>
      </x:c>
      <x:c r="C123" t="n">
        <x:v>192</x:v>
      </x:c>
      <x:c r="D123" t="str">
        <x:v>COSA-P</x:v>
      </x:c>
      <x:c r="E123" t="str">
        <x:v>Spectral</x:v>
      </x:c>
      <x:c r="F123" s="4" t="n">
        <x:v>0.41722679138183594</x:v>
      </x:c>
      <x:c r="G123" s="4" t="n">
        <x:v>0.39847827951113385</x:v>
      </x:c>
      <x:c r="H123" s="4" t="n">
        <x:f>IF(OR(F123="",G123=""),"",F123-G123)</x:f>
        <x:v>0.01874851187070209</x:v>
      </x:c>
      <x:c r="I123" s="5" t="n">
        <x:f>IFERROR(H123/F123,"")</x:f>
        <x:v>0.04493602102733595</x:v>
      </x:c>
      <x:c r="J123" t="str">
        <x:f>IF(H123&gt;0,"Yes",IF(H123&lt;0,"No","Tie"))</x:f>
        <x:v>Yes</x:v>
      </x:c>
    </x:row>
    <x:row r="124">
      <x:c r="A124" t="str">
        <x:v>OLS</x:v>
      </x:c>
      <x:c r="B124" t="str">
        <x:v>ETTm1</x:v>
      </x:c>
      <x:c r="C124" t="n">
        <x:v>336</x:v>
      </x:c>
      <x:c r="D124" t="str">
        <x:v>COSA-P</x:v>
      </x:c>
      <x:c r="E124" t="str">
        <x:v>Spectral</x:v>
      </x:c>
      <x:c r="F124" s="4" t="n">
        <x:v>0.4976426462332408</x:v>
      </x:c>
      <x:c r="G124" s="4" t="n">
        <x:v>0.45406317710876465</x:v>
      </x:c>
      <x:c r="H124" s="4" t="n">
        <x:f>IF(OR(F124="",G124=""),"",F124-G124)</x:f>
        <x:v>0.04357946912447613</x:v>
      </x:c>
      <x:c r="I124" s="5" t="n">
        <x:f>IFERROR(H124/F124,"")</x:f>
        <x:v>0.08757181373891099</x:v>
      </x:c>
      <x:c r="J124" t="str">
        <x:f>IF(H124&gt;0,"Yes",IF(H124&lt;0,"No","Tie"))</x:f>
        <x:v>Yes</x:v>
      </x:c>
    </x:row>
    <x:row r="125">
      <x:c r="A125" t="str">
        <x:v>OLS</x:v>
      </x:c>
      <x:c r="B125" t="str">
        <x:v>ETTm1</x:v>
      </x:c>
      <x:c r="C125" t="n">
        <x:v>720</x:v>
      </x:c>
      <x:c r="D125" t="str">
        <x:v>COSA-P</x:v>
      </x:c>
      <x:c r="E125" t="str">
        <x:v>Spectral</x:v>
      </x:c>
      <x:c r="F125" s="4" t="n">
        <x:v>0.580982506275177</x:v>
      </x:c>
      <x:c r="G125" s="4" t="n">
        <x:v>0.46500633160273236</x:v>
      </x:c>
      <x:c r="H125" s="4" t="n">
        <x:f>IF(OR(F125="",G125=""),"",F125-G125)</x:f>
        <x:v>0.11597617467244464</x:v>
      </x:c>
      <x:c r="I125" s="5" t="n">
        <x:f>IFERROR(H125/F125,"")</x:f>
        <x:v>0.19962076899009693</x:v>
      </x:c>
      <x:c r="J125" t="str">
        <x:f>IF(H125&gt;0,"Yes",IF(H125&lt;0,"No","Tie"))</x:f>
        <x:v>Yes</x:v>
      </x:c>
    </x:row>
    <x:row r="126">
      <x:c r="A126" t="str">
        <x:v>OLS</x:v>
      </x:c>
      <x:c r="B126" t="str">
        <x:v>ETTm2</x:v>
      </x:c>
      <x:c r="C126" t="n">
        <x:v>96</x:v>
      </x:c>
      <x:c r="D126" t="str">
        <x:v>COSA-P</x:v>
      </x:c>
      <x:c r="E126" t="str">
        <x:v>Spectral</x:v>
      </x:c>
      <x:c r="F126" s="4" t="n">
        <x:v>0.12187471240758896</x:v>
      </x:c>
      <x:c r="G126" s="4" t="n">
        <x:v>0.1176209698120753</x:v>
      </x:c>
      <x:c r="H126" s="4" t="n">
        <x:f>IF(OR(F126="",G126=""),"",F126-G126)</x:f>
        <x:v>0.004253742595513657</x:v>
      </x:c>
      <x:c r="I126" s="5" t="n">
        <x:f>IFERROR(H126/F126,"")</x:f>
        <x:v>0.034902585708573804</x:v>
      </x:c>
      <x:c r="J126" t="str">
        <x:f>IF(H126&gt;0,"Yes",IF(H126&lt;0,"No","Tie"))</x:f>
        <x:v>Yes</x:v>
      </x:c>
    </x:row>
    <x:row r="127">
      <x:c r="A127" t="str">
        <x:v>OLS</x:v>
      </x:c>
      <x:c r="B127" t="str">
        <x:v>ETTm2</x:v>
      </x:c>
      <x:c r="C127" t="n">
        <x:v>192</x:v>
      </x:c>
      <x:c r="D127" t="str">
        <x:v>COSA-P</x:v>
      </x:c>
      <x:c r="E127" t="str">
        <x:v>Spectral</x:v>
      </x:c>
      <x:c r="F127" s="4" t="n">
        <x:v>0.15484239161014557</x:v>
      </x:c>
      <x:c r="G127" s="4" t="n">
        <x:v>0.15545007586479187</x:v>
      </x:c>
      <x:c r="H127" s="4" t="n">
        <x:f>IF(OR(F127="",G127=""),"",F127-G127)</x:f>
        <x:v>-0.0006076842546463013</x:v>
      </x:c>
      <x:c r="I127" s="5" t="n">
        <x:f>IFERROR(H127/F127,"")</x:f>
        <x:v>-0.003924534155842143</x:v>
      </x:c>
      <x:c r="J127" t="str">
        <x:f>IF(H127&gt;0,"Yes",IF(H127&lt;0,"No","Tie"))</x:f>
        <x:v>No</x:v>
      </x:c>
    </x:row>
    <x:row r="128">
      <x:c r="A128" t="str">
        <x:v>OLS</x:v>
      </x:c>
      <x:c r="B128" t="str">
        <x:v>ETTm2</x:v>
      </x:c>
      <x:c r="C128" t="n">
        <x:v>336</x:v>
      </x:c>
      <x:c r="D128" t="str">
        <x:v>COSA-P</x:v>
      </x:c>
      <x:c r="E128" t="str">
        <x:v>Spectral</x:v>
      </x:c>
      <x:c r="F128" s="4" t="n">
        <x:v>0.19286707043647766</x:v>
      </x:c>
      <x:c r="G128" s="4" t="n">
        <x:v>0.16509732604026794</x:v>
      </x:c>
      <x:c r="H128" s="4" t="n">
        <x:f>IF(OR(F128="",G128=""),"",F128-G128)</x:f>
        <x:v>0.027769744396209717</x:v>
      </x:c>
      <x:c r="I128" s="5" t="n">
        <x:f>IFERROR(H128/F128,"")</x:f>
        <x:v>0.1439838554780968</x:v>
      </x:c>
      <x:c r="J128" t="str">
        <x:f>IF(H128&gt;0,"Yes",IF(H128&lt;0,"No","Tie"))</x:f>
        <x:v>Yes</x:v>
      </x:c>
    </x:row>
    <x:row r="129">
      <x:c r="A129" t="str">
        <x:v>OLS</x:v>
      </x:c>
      <x:c r="B129" t="str">
        <x:v>ETTm2</x:v>
      </x:c>
      <x:c r="C129" t="n">
        <x:v>720</x:v>
      </x:c>
      <x:c r="D129" t="str">
        <x:v>COSA-P</x:v>
      </x:c>
      <x:c r="E129" t="str">
        <x:v>Spectral</x:v>
      </x:c>
      <x:c r="F129" s="4" t="n">
        <x:v>0.2479599565267563</x:v>
      </x:c>
      <x:c r="G129" s="4" t="n">
        <x:v>0.17214034994443259</x:v>
      </x:c>
      <x:c r="H129" s="4" t="n">
        <x:f>IF(OR(F129="",G129=""),"",F129-G129)</x:f>
        <x:v>0.0758196065823237</x:v>
      </x:c>
      <x:c r="I129" s="5" t="n">
        <x:f>IFERROR(H129/F129,"")</x:f>
        <x:v>0.3057735920119922</x:v>
      </x:c>
      <x:c r="J129" t="str">
        <x:f>IF(H129&gt;0,"Yes",IF(H129&lt;0,"No","Tie"))</x:f>
        <x:v>Yes</x:v>
      </x:c>
    </x:row>
    <x:row r="130">
      <x:c r="A130" t="str">
        <x:v>OLS</x:v>
      </x:c>
      <x:c r="B130" t="str">
        <x:v>Exchange Rate</x:v>
      </x:c>
      <x:c r="C130" t="n">
        <x:v>96</x:v>
      </x:c>
      <x:c r="D130" t="str">
        <x:v>COSA-P</x:v>
      </x:c>
      <x:c r="E130" t="str">
        <x:v>Spectral</x:v>
      </x:c>
      <x:c r="F130" s="4" t="n">
        <x:v>0.07816929866870244</x:v>
      </x:c>
      <x:c r="G130" s="4" t="n">
        <x:v>0.07900888472795486</x:v>
      </x:c>
      <x:c r="H130" s="4" t="n">
        <x:f>IF(OR(F130="",G130=""),"",F130-G130)</x:f>
        <x:v>-0.0008395860592524257</x:v>
      </x:c>
      <x:c r="I130" s="5" t="n">
        <x:f>IFERROR(H130/F130,"")</x:f>
        <x:v>-0.010740611385177755</x:v>
      </x:c>
      <x:c r="J130" t="str">
        <x:f>IF(H130&gt;0,"Yes",IF(H130&lt;0,"No","Tie"))</x:f>
        <x:v>No</x:v>
      </x:c>
    </x:row>
    <x:row r="131">
      <x:c r="A131" t="str">
        <x:v>OLS</x:v>
      </x:c>
      <x:c r="B131" t="str">
        <x:v>Exchange Rate</x:v>
      </x:c>
      <x:c r="C131" t="n">
        <x:v>192</x:v>
      </x:c>
      <x:c r="D131" t="str">
        <x:v>COSA-P</x:v>
      </x:c>
      <x:c r="E131" t="str">
        <x:v>Spectral</x:v>
      </x:c>
      <x:c r="F131" s="4" t="n">
        <x:v>0.1575752298037211</x:v>
      </x:c>
      <x:c r="G131" s="4" t="n">
        <x:v>0.14753136038780212</x:v>
      </x:c>
      <x:c r="H131" s="4" t="n">
        <x:f>IF(OR(F131="",G131=""),"",F131-G131)</x:f>
        <x:v>0.010043869415918977</x:v>
      </x:c>
      <x:c r="I131" s="5" t="n">
        <x:f>IFERROR(H131/F131,"")</x:f>
        <x:v>0.06374015401043567</x:v>
      </x:c>
      <x:c r="J131" t="str">
        <x:f>IF(H131&gt;0,"Yes",IF(H131&lt;0,"No","Tie"))</x:f>
        <x:v>Yes</x:v>
      </x:c>
    </x:row>
    <x:row r="132">
      <x:c r="A132" t="str">
        <x:v>OLS</x:v>
      </x:c>
      <x:c r="B132" t="str">
        <x:v>Exchange Rate</x:v>
      </x:c>
      <x:c r="C132" t="n">
        <x:v>336</x:v>
      </x:c>
      <x:c r="D132" t="str">
        <x:v>COSA-P</x:v>
      </x:c>
      <x:c r="E132" t="str">
        <x:v>Spectral</x:v>
      </x:c>
      <x:c r="F132" s="4" t="n">
        <x:v>0.2708100179831187</x:v>
      </x:c>
      <x:c r="G132" s="4" t="n">
        <x:v>0.2117681751648585</x:v>
      </x:c>
      <x:c r="H132" s="4" t="n">
        <x:f>IF(OR(F132="",G132=""),"",F132-G132)</x:f>
        <x:v>0.05904184281826022</x:v>
      </x:c>
      <x:c r="I132" s="5" t="n">
        <x:f>IFERROR(H132/F132,"")</x:f>
        <x:v>0.21801941914106246</x:v>
      </x:c>
      <x:c r="J132" t="str">
        <x:f>IF(H132&gt;0,"Yes",IF(H132&lt;0,"No","Tie"))</x:f>
        <x:v>Yes</x:v>
      </x:c>
    </x:row>
    <x:row r="133">
      <x:c r="A133" t="str">
        <x:v>OLS</x:v>
      </x:c>
      <x:c r="B133" t="str">
        <x:v>Exchange Rate</x:v>
      </x:c>
      <x:c r="C133" t="n">
        <x:v>720</x:v>
      </x:c>
      <x:c r="D133" t="str">
        <x:v>COSA-P</x:v>
      </x:c>
      <x:c r="E133" t="str">
        <x:v>Spectral</x:v>
      </x:c>
      <x:c r="F133" s="4" t="n">
        <x:v>0.49643686413764954</x:v>
      </x:c>
      <x:c r="G133" s="4" t="n">
        <x:v>0.32824990153312683</x:v>
      </x:c>
      <x:c r="H133" s="4" t="n">
        <x:f>IF(OR(F133="",G133=""),"",F133-G133)</x:f>
        <x:v>0.1681869626045227</x:v>
      </x:c>
      <x:c r="I133" s="5" t="n">
        <x:f>IFERROR(H133/F133,"")</x:f>
        <x:v>0.3387882221371229</x:v>
      </x:c>
      <x:c r="J133" t="str">
        <x:f>IF(H133&gt;0,"Yes",IF(H133&lt;0,"No","Tie"))</x:f>
        <x:v>Yes</x:v>
      </x:c>
    </x:row>
    <x:row r="134">
      <x:c r="A134" t="str">
        <x:v>OLS</x:v>
      </x:c>
      <x:c r="B134" t="str">
        <x:v>weather</x:v>
      </x:c>
      <x:c r="C134" t="n">
        <x:v>96</x:v>
      </x:c>
      <x:c r="D134" t="str">
        <x:v>COSA-P</x:v>
      </x:c>
      <x:c r="E134" t="str">
        <x:v>Spectral</x:v>
      </x:c>
      <x:c r="F134" s="4" t="n">
        <x:v>0.1877320408821106</x:v>
      </x:c>
      <x:c r="G134" s="4" t="n">
        <x:v>0.1843416541814804</x:v>
      </x:c>
      <x:c r="H134" s="4" t="n">
        <x:f>IF(OR(F134="",G134=""),"",F134-G134)</x:f>
        <x:v>0.003390386700630188</x:v>
      </x:c>
      <x:c r="I134" s="5" t="n">
        <x:f>IFERROR(H134/F134,"")</x:f>
        <x:v>0.018059712581291527</x:v>
      </x:c>
      <x:c r="J134" t="str">
        <x:f>IF(H134&gt;0,"Yes",IF(H134&lt;0,"No","Tie"))</x:f>
        <x:v>Yes</x:v>
      </x:c>
    </x:row>
    <x:row r="135">
      <x:c r="A135" t="str">
        <x:v>OLS</x:v>
      </x:c>
      <x:c r="B135" t="str">
        <x:v>weather</x:v>
      </x:c>
      <x:c r="C135" t="n">
        <x:v>192</x:v>
      </x:c>
      <x:c r="D135" t="str">
        <x:v>COSA-P</x:v>
      </x:c>
      <x:c r="E135" t="str">
        <x:v>Spectral</x:v>
      </x:c>
      <x:c r="F135" s="4" t="n">
        <x:v>0.24211193124453226</x:v>
      </x:c>
      <x:c r="G135" s="4" t="n">
        <x:v>0.2260005921125412</x:v>
      </x:c>
      <x:c r="H135" s="4" t="n">
        <x:f>IF(OR(F135="",G135=""),"",F135-G135)</x:f>
        <x:v>0.01611133913199106</x:v>
      </x:c>
      <x:c r="I135" s="5" t="n">
        <x:f>IFERROR(H135/F135,"")</x:f>
        <x:v>0.06654500275626095</x:v>
      </x:c>
      <x:c r="J135" t="str">
        <x:f>IF(H135&gt;0,"Yes",IF(H135&lt;0,"No","Tie"))</x:f>
        <x:v>Yes</x:v>
      </x:c>
    </x:row>
    <x:row r="136">
      <x:c r="A136" t="str">
        <x:v>OLS</x:v>
      </x:c>
      <x:c r="B136" t="str">
        <x:v>weather</x:v>
      </x:c>
      <x:c r="C136" t="n">
        <x:v>336</x:v>
      </x:c>
      <x:c r="D136" t="str">
        <x:v>COSA-P</x:v>
      </x:c>
      <x:c r="E136" t="str">
        <x:v>Spectral</x:v>
      </x:c>
      <x:c r="F136" s="4" t="n">
        <x:v>0.34887321790059406</x:v>
      </x:c>
      <x:c r="G136" s="4" t="n">
        <x:v>0.23392313718795776</x:v>
      </x:c>
      <x:c r="H136" s="4" t="n">
        <x:f>IF(OR(F136="",G136=""),"",F136-G136)</x:f>
        <x:v>0.1149500807126363</x:v>
      </x:c>
      <x:c r="I136" s="5" t="n">
        <x:f>IFERROR(H136/F136,"")</x:f>
        <x:v>0.32948955326628</x:v>
      </x:c>
      <x:c r="J136" t="str">
        <x:f>IF(H136&gt;0,"Yes",IF(H136&lt;0,"No","Tie"))</x:f>
        <x:v>Yes</x:v>
      </x:c>
    </x:row>
    <x:row r="137">
      <x:c r="A137" t="str">
        <x:v>OLS</x:v>
      </x:c>
      <x:c r="B137" t="str">
        <x:v>weather</x:v>
      </x:c>
      <x:c r="C137" t="n">
        <x:v>720</x:v>
      </x:c>
      <x:c r="D137" t="str">
        <x:v>COSA-P</x:v>
      </x:c>
      <x:c r="E137" t="str">
        <x:v>Spectral</x:v>
      </x:c>
      <x:c r="F137" s="4" t="n">
        <x:v>0.3716016908486684</x:v>
      </x:c>
      <x:c r="G137" s="4" t="n">
        <x:v>0.22121495008468628</x:v>
      </x:c>
      <x:c r="H137" s="4" t="n">
        <x:f>IF(OR(F137="",G137=""),"",F137-G137)</x:f>
        <x:v>0.15038674076398212</x:v>
      </x:c>
      <x:c r="I137" s="5" t="n">
        <x:f>IFERROR(H137/F137,"")</x:f>
        <x:v>0.4046987526362624</x:v>
      </x:c>
      <x:c r="J137" t="str">
        <x:f>IF(H137&gt;0,"Yes",IF(H137&lt;0,"No","Tie"))</x:f>
        <x:v>Yes</x:v>
      </x:c>
    </x:row>
    <x:row r="138">
      <x:c r="A138" t="str">
        <x:v>OLS</x:v>
      </x:c>
      <x:c r="B138" t="str">
        <x:v>electricity</x:v>
      </x:c>
      <x:c r="C138" t="n">
        <x:v>96</x:v>
      </x:c>
      <x:c r="D138" t="str">
        <x:v>COSA-P</x:v>
      </x:c>
      <x:c r="E138" t="str">
        <x:v>Spectral</x:v>
      </x:c>
      <x:c r="F138" s="4" t="n">
        <x:v>0.1969328224658966</x:v>
      </x:c>
      <x:c r="G138" s="4" t="n">
        <x:v>0.1920198847850164</x:v>
      </x:c>
      <x:c r="H138" s="4" t="n">
        <x:f>IF(OR(F138="",G138=""),"",F138-G138)</x:f>
        <x:v>0.004912937680880219</x:v>
      </x:c>
      <x:c r="I138" s="5" t="n">
        <x:f>IFERROR(H138/F138,"")</x:f>
        <x:v>0.024947277042814974</x:v>
      </x:c>
      <x:c r="J138" t="str">
        <x:f>IF(H138&gt;0,"Yes",IF(H138&lt;0,"No","Tie"))</x:f>
        <x:v>Yes</x:v>
      </x:c>
    </x:row>
    <x:row r="139">
      <x:c r="A139" t="str">
        <x:v>OLS</x:v>
      </x:c>
      <x:c r="B139" t="str">
        <x:v>electricity</x:v>
      </x:c>
      <x:c r="C139" t="n">
        <x:v>192</x:v>
      </x:c>
      <x:c r="D139" t="str">
        <x:v>COSA-P</x:v>
      </x:c>
      <x:c r="E139" t="str">
        <x:v>Spectral</x:v>
      </x:c>
      <x:c r="F139" s="4" t="n">
        <x:v>0.19393335282802582</x:v>
      </x:c>
      <x:c r="G139" s="4" t="n">
        <x:v>0.1913446287314097</x:v>
      </x:c>
      <x:c r="H139" s="4" t="n">
        <x:f>IF(OR(F139="",G139=""),"",F139-G139)</x:f>
        <x:v>0.0025887240966161185</x:v>
      </x:c>
      <x:c r="I139" s="5" t="n">
        <x:f>IFERROR(H139/F139,"")</x:f>
        <x:v>0.013348524422777964</x:v>
      </x:c>
      <x:c r="J139" t="str">
        <x:f>IF(H139&gt;0,"Yes",IF(H139&lt;0,"No","Tie"))</x:f>
        <x:v>Yes</x:v>
      </x:c>
    </x:row>
    <x:row r="140">
      <x:c r="A140" t="str">
        <x:v>OLS</x:v>
      </x:c>
      <x:c r="B140" t="str">
        <x:v>electricity</x:v>
      </x:c>
      <x:c r="C140" t="n">
        <x:v>336</x:v>
      </x:c>
      <x:c r="D140" t="str">
        <x:v>COSA-P</x:v>
      </x:c>
      <x:c r="E140" t="str">
        <x:v>Spectral</x:v>
      </x:c>
      <x:c r="F140" s="4" t="n">
        <x:v>0.2011847843726476</x:v>
      </x:c>
      <x:c r="G140" s="4" t="n">
        <x:v>0.1993053505818049</x:v>
      </x:c>
      <x:c r="H140" s="4" t="n">
        <x:f>IF(OR(F140="",G140=""),"",F140-G140)</x:f>
        <x:v>0.0018794337908427106</x:v>
      </x:c>
      <x:c r="I140" s="5" t="n">
        <x:f>IFERROR(H140/F140,"")</x:f>
        <x:v>0.009341828690988383</x:v>
      </x:c>
      <x:c r="J140" t="str">
        <x:f>IF(H140&gt;0,"Yes",IF(H140&lt;0,"No","Tie"))</x:f>
        <x:v>Yes</x:v>
      </x:c>
    </x:row>
    <x:row r="141">
      <x:c r="A141" t="str">
        <x:v>MICN</x:v>
      </x:c>
      <x:c r="B141" t="str">
        <x:v>ETTh1</x:v>
      </x:c>
      <x:c r="C141" t="n">
        <x:v>96</x:v>
      </x:c>
      <x:c r="D141" t="str">
        <x:v>COSA-P</x:v>
      </x:c>
      <x:c r="E141" t="str">
        <x:v>Spectral</x:v>
      </x:c>
      <x:c r="F141" s="4" t="n">
        <x:v>0.5378080606460571</x:v>
      </x:c>
      <x:c r="G141" s="4" t="n">
        <x:v>0.5266011754671732</x:v>
      </x:c>
      <x:c r="H141" s="4" t="n">
        <x:f>IF(OR(F141="",G141=""),"",F141-G141)</x:f>
        <x:v>0.011206885178883907</x:v>
      </x:c>
      <x:c r="I141" s="5" t="n">
        <x:f>IFERROR(H141/F141,"")</x:f>
        <x:v>0.02083807588421289</x:v>
      </x:c>
      <x:c r="J141" t="str">
        <x:f>IF(H141&gt;0,"Yes",IF(H141&lt;0,"No","Tie"))</x:f>
        <x:v>Yes</x:v>
      </x:c>
    </x:row>
    <x:row r="142">
      <x:c r="A142" t="str">
        <x:v>MICN</x:v>
      </x:c>
      <x:c r="B142" t="str">
        <x:v>ETTh1</x:v>
      </x:c>
      <x:c r="C142" t="n">
        <x:v>192</x:v>
      </x:c>
      <x:c r="D142" t="str">
        <x:v>COSA-P</x:v>
      </x:c>
      <x:c r="E142" t="str">
        <x:v>Spectral</x:v>
      </x:c>
      <x:c r="F142" s="4" t="n">
        <x:v>0.6114283402760824</x:v>
      </x:c>
      <x:c r="G142" s="4" t="n">
        <x:v>0.5893027385075887</x:v>
      </x:c>
      <x:c r="H142" s="4" t="n">
        <x:f>IF(OR(F142="",G142=""),"",F142-G142)</x:f>
        <x:v>0.022125601768493652</x:v>
      </x:c>
      <x:c r="I142" s="5" t="n">
        <x:f>IFERROR(H142/F142,"")</x:f>
        <x:v>0.036186745544871425</x:v>
      </x:c>
      <x:c r="J142" t="str">
        <x:f>IF(H142&gt;0,"Yes",IF(H142&lt;0,"No","Tie"))</x:f>
        <x:v>Yes</x:v>
      </x:c>
    </x:row>
    <x:row r="143">
      <x:c r="A143" t="str">
        <x:v>MICN</x:v>
      </x:c>
      <x:c r="B143" t="str">
        <x:v>ETTh1</x:v>
      </x:c>
      <x:c r="C143" t="n">
        <x:v>336</x:v>
      </x:c>
      <x:c r="D143" t="str">
        <x:v>COSA-P</x:v>
      </x:c>
      <x:c r="E143" t="str">
        <x:v>Spectral</x:v>
      </x:c>
      <x:c r="F143" s="4" t="n">
        <x:v>0.6264163851737976</x:v>
      </x:c>
      <x:c r="G143" s="4" t="n">
        <x:v>0.6438799699147543</x:v>
      </x:c>
      <x:c r="H143" s="4" t="n">
        <x:f>IF(OR(F143="",G143=""),"",F143-G143)</x:f>
        <x:v>-0.01746358474095666</x:v>
      </x:c>
      <x:c r="I143" s="5" t="n">
        <x:f>IFERROR(H143/F143,"")</x:f>
        <x:v>-0.027878556746422645</x:v>
      </x:c>
      <x:c r="J143" t="str">
        <x:f>IF(H143&gt;0,"Yes",IF(H143&lt;0,"No","Tie"))</x:f>
        <x:v>No</x:v>
      </x:c>
    </x:row>
    <x:row r="144">
      <x:c r="A144" t="str">
        <x:v>MICN</x:v>
      </x:c>
      <x:c r="B144" t="str">
        <x:v>ETTh1</x:v>
      </x:c>
      <x:c r="C144" t="n">
        <x:v>720</x:v>
      </x:c>
      <x:c r="D144" t="str">
        <x:v>COSA-P</x:v>
      </x:c>
      <x:c r="E144" t="str">
        <x:v>Spectral</x:v>
      </x:c>
      <x:c r="F144" s="4" t="n">
        <x:v>0.6502132415771484</x:v>
      </x:c>
      <x:c r="G144" s="4" t="n">
        <x:v>0.6928068796793619</x:v>
      </x:c>
      <x:c r="H144" s="4" t="n">
        <x:f>IF(OR(F144="",G144=""),"",F144-G144)</x:f>
        <x:v>-0.042593638102213505</x:v>
      </x:c>
      <x:c r="I144" s="5" t="n">
        <x:f>IFERROR(H144/F144,"")</x:f>
        <x:v>-0.06550718345707472</x:v>
      </x:c>
      <x:c r="J144" t="str">
        <x:f>IF(H144&gt;0,"Yes",IF(H144&lt;0,"No","Tie"))</x:f>
        <x:v>No</x:v>
      </x:c>
    </x:row>
    <x:row r="145">
      <x:c r="A145" t="str">
        <x:v>MICN</x:v>
      </x:c>
      <x:c r="B145" t="str">
        <x:v>ETTh2</x:v>
      </x:c>
      <x:c r="C145" t="n">
        <x:v>96</x:v>
      </x:c>
      <x:c r="D145" t="str">
        <x:v>COSA-P</x:v>
      </x:c>
      <x:c r="E145" t="str">
        <x:v>Spectral</x:v>
      </x:c>
      <x:c r="F145" s="4" t="n">
        <x:v>0.18941648801167807</x:v>
      </x:c>
      <x:c r="G145" s="4" t="n">
        <x:v>0.19287092487017313</x:v>
      </x:c>
      <x:c r="H145" s="4" t="n">
        <x:f>IF(OR(F145="",G145=""),"",F145-G145)</x:f>
        <x:v>-0.003454436858495058</x:v>
      </x:c>
      <x:c r="I145" s="5" t="n">
        <x:f>IFERROR(H145/F145,"")</x:f>
        <x:v>-0.01823725534538515</x:v>
      </x:c>
      <x:c r="J145" t="str">
        <x:f>IF(H145&gt;0,"Yes",IF(H145&lt;0,"No","Tie"))</x:f>
        <x:v>No</x:v>
      </x:c>
    </x:row>
    <x:row r="146">
      <x:c r="A146" t="str">
        <x:v>MICN</x:v>
      </x:c>
      <x:c r="B146" t="str">
        <x:v>ETTh2</x:v>
      </x:c>
      <x:c r="C146" t="n">
        <x:v>192</x:v>
      </x:c>
      <x:c r="D146" t="str">
        <x:v>COSA-P</x:v>
      </x:c>
      <x:c r="E146" t="str">
        <x:v>Spectral</x:v>
      </x:c>
      <x:c r="F146" s="4" t="n">
        <x:v>0.2466099113225937</x:v>
      </x:c>
      <x:c r="G146" s="4" t="n">
        <x:v>0.24598835905392966</x:v>
      </x:c>
      <x:c r="H146" s="4" t="n">
        <x:f>IF(OR(F146="",G146=""),"",F146-G146)</x:f>
        <x:v>0.0006215522686640329</x:v>
      </x:c>
      <x:c r="I146" s="5" t="n">
        <x:f>IFERROR(H146/F146,"")</x:f>
        <x:v>0.0025203864083587955</x:v>
      </x:c>
      <x:c r="J146" t="str">
        <x:f>IF(H146&gt;0,"Yes",IF(H146&lt;0,"No","Tie"))</x:f>
        <x:v>Yes</x:v>
      </x:c>
    </x:row>
    <x:row r="147">
      <x:c r="A147" t="str">
        <x:v>MICN</x:v>
      </x:c>
      <x:c r="B147" t="str">
        <x:v>ETTh2</x:v>
      </x:c>
      <x:c r="C147" t="n">
        <x:v>336</x:v>
      </x:c>
      <x:c r="D147" t="str">
        <x:v>COSA-P</x:v>
      </x:c>
      <x:c r="E147" t="str">
        <x:v>Spectral</x:v>
      </x:c>
      <x:c r="F147" s="4" t="n">
        <x:v>0.27799585461616516</x:v>
      </x:c>
      <x:c r="G147" s="4" t="n">
        <x:v>0.2770679493745168</x:v>
      </x:c>
      <x:c r="H147" s="4" t="n">
        <x:f>IF(OR(F147="",G147=""),"",F147-G147)</x:f>
        <x:v>0.0009279052416483746</x:v>
      </x:c>
      <x:c r="I147" s="5" t="n">
        <x:f>IFERROR(H147/F147,"")</x:f>
        <x:v>0.0033378384110423274</x:v>
      </x:c>
      <x:c r="J147" t="str">
        <x:f>IF(H147&gt;0,"Yes",IF(H147&lt;0,"No","Tie"))</x:f>
        <x:v>Yes</x:v>
      </x:c>
    </x:row>
    <x:row r="148">
      <x:c r="A148" t="str">
        <x:v>MICN</x:v>
      </x:c>
      <x:c r="B148" t="str">
        <x:v>ETTh2</x:v>
      </x:c>
      <x:c r="C148" t="n">
        <x:v>720</x:v>
      </x:c>
      <x:c r="D148" t="str">
        <x:v>COSA-P</x:v>
      </x:c>
      <x:c r="E148" t="str">
        <x:v>Spectral</x:v>
      </x:c>
      <x:c r="F148" s="4" t="n">
        <x:v>0.3227624297142029</x:v>
      </x:c>
      <x:c r="G148" s="4" t="n">
        <x:v>0.3181272049744924</x:v>
      </x:c>
      <x:c r="H148" s="4" t="n">
        <x:f>IF(OR(F148="",G148=""),"",F148-G148)</x:f>
        <x:v>0.004635224739710508</x:v>
      </x:c>
      <x:c r="I148" s="5" t="n">
        <x:f>IFERROR(H148/F148,"")</x:f>
        <x:v>0.01436110374994658</x:v>
      </x:c>
      <x:c r="J148" t="str">
        <x:f>IF(H148&gt;0,"Yes",IF(H148&lt;0,"No","Tie"))</x:f>
        <x:v>Yes</x:v>
      </x:c>
    </x:row>
    <x:row r="149">
      <x:c r="A149" t="str">
        <x:v>MICN</x:v>
      </x:c>
      <x:c r="B149" t="str">
        <x:v>ETTm1</x:v>
      </x:c>
      <x:c r="C149" t="n">
        <x:v>96</x:v>
      </x:c>
      <x:c r="D149" t="str">
        <x:v>COSA-P</x:v>
      </x:c>
      <x:c r="E149" t="str">
        <x:v>Spectral</x:v>
      </x:c>
      <x:c r="F149" s="4" t="n">
        <x:v>0.3921038607756297</x:v>
      </x:c>
      <x:c r="G149" s="4" t="n">
        <x:v>0.3722110986709595</x:v>
      </x:c>
      <x:c r="H149" s="4" t="n">
        <x:f>IF(OR(F149="",G149=""),"",F149-G149)</x:f>
        <x:v>0.019892762104670225</x:v>
      </x:c>
      <x:c r="I149" s="5" t="n">
        <x:f>IFERROR(H149/F149,"")</x:f>
        <x:v>0.05073340024074206</x:v>
      </x:c>
      <x:c r="J149" t="str">
        <x:f>IF(H149&gt;0,"Yes",IF(H149&lt;0,"No","Tie"))</x:f>
        <x:v>Yes</x:v>
      </x:c>
    </x:row>
    <x:row r="150">
      <x:c r="A150" t="str">
        <x:v>MICN</x:v>
      </x:c>
      <x:c r="B150" t="str">
        <x:v>ETTm1</x:v>
      </x:c>
      <x:c r="C150" t="n">
        <x:v>192</x:v>
      </x:c>
      <x:c r="D150" t="str">
        <x:v>COSA-P</x:v>
      </x:c>
      <x:c r="E150" t="str">
        <x:v>Spectral</x:v>
      </x:c>
      <x:c r="F150" s="4" t="n">
        <x:v>0.46068646510442096</x:v>
      </x:c>
      <x:c r="G150" s="4" t="n">
        <x:v>0.44295592109362286</x:v>
      </x:c>
      <x:c r="H150" s="4" t="n">
        <x:f>IF(OR(F150="",G150=""),"",F150-G150)</x:f>
        <x:v>0.0177305440107981</x:v>
      </x:c>
      <x:c r="I150" s="5" t="n">
        <x:f>IFERROR(H150/F150,"")</x:f>
        <x:v>0.03848722581154892</x:v>
      </x:c>
      <x:c r="J150" t="str">
        <x:f>IF(H150&gt;0,"Yes",IF(H150&lt;0,"No","Tie"))</x:f>
        <x:v>Yes</x:v>
      </x:c>
    </x:row>
    <x:row r="151">
      <x:c r="A151" t="str">
        <x:v>MICN</x:v>
      </x:c>
      <x:c r="B151" t="str">
        <x:v>ETTm1</x:v>
      </x:c>
      <x:c r="C151" t="n">
        <x:v>336</x:v>
      </x:c>
      <x:c r="D151" t="str">
        <x:v>COSA-P</x:v>
      </x:c>
      <x:c r="E151" t="str">
        <x:v>Spectral</x:v>
      </x:c>
      <x:c r="F151" s="4" t="n">
        <x:v>0.5428374210993449</x:v>
      </x:c>
      <x:c r="G151" s="4" t="n">
        <x:v>0.5088350772857666</x:v>
      </x:c>
      <x:c r="H151" s="4" t="n">
        <x:f>IF(OR(F151="",G151=""),"",F151-G151)</x:f>
        <x:v>0.03400234381357825</x:v>
      </x:c>
      <x:c r="I151" s="5" t="n">
        <x:f>IFERROR(H151/F151,"")</x:f>
        <x:v>0.06263817211554298</x:v>
      </x:c>
      <x:c r="J151" t="str">
        <x:f>IF(H151&gt;0,"Yes",IF(H151&lt;0,"No","Tie"))</x:f>
        <x:v>Yes</x:v>
      </x:c>
    </x:row>
    <x:row r="152">
      <x:c r="A152" t="str">
        <x:v>MICN</x:v>
      </x:c>
      <x:c r="B152" t="str">
        <x:v>ETTm1</x:v>
      </x:c>
      <x:c r="C152" t="n">
        <x:v>720</x:v>
      </x:c>
      <x:c r="D152" t="str">
        <x:v>COSA-P</x:v>
      </x:c>
      <x:c r="E152" t="str">
        <x:v>Spectral</x:v>
      </x:c>
      <x:c r="F152" s="4" t="n">
        <x:v>0.6151350140571594</x:v>
      </x:c>
      <x:c r="G152" s="4" t="n">
        <x:v>0.5502469142278036</x:v>
      </x:c>
      <x:c r="H152" s="4" t="n">
        <x:f>IF(OR(F152="",G152=""),"",F152-G152)</x:f>
        <x:v>0.06488809982935584</x:v>
      </x:c>
      <x:c r="I152" s="5" t="n">
        <x:f>IFERROR(H152/F152,"")</x:f>
        <x:v>0.10548594755057517</x:v>
      </x:c>
      <x:c r="J152" t="str">
        <x:f>IF(H152&gt;0,"Yes",IF(H152&lt;0,"No","Tie"))</x:f>
        <x:v>Yes</x:v>
      </x:c>
    </x:row>
    <x:row r="153">
      <x:c r="A153" t="str">
        <x:v>MICN</x:v>
      </x:c>
      <x:c r="B153" t="str">
        <x:v>ETTm2</x:v>
      </x:c>
      <x:c r="C153" t="n">
        <x:v>96</x:v>
      </x:c>
      <x:c r="D153" t="str">
        <x:v>COSA-P</x:v>
      </x:c>
      <x:c r="E153" t="str">
        <x:v>Spectral</x:v>
      </x:c>
      <x:c r="F153" s="4" t="n">
        <x:v>0.12916086117426553</x:v>
      </x:c>
      <x:c r="G153" s="4" t="n">
        <x:v>0.1269521564245224</x:v>
      </x:c>
      <x:c r="H153" s="4" t="n">
        <x:f>IF(OR(F153="",G153=""),"",F153-G153)</x:f>
        <x:v>0.0022087047497431345</x:v>
      </x:c>
      <x:c r="I153" s="5" t="n">
        <x:f>IFERROR(H153/F153,"")</x:f>
        <x:v>0.01710041826651435</x:v>
      </x:c>
      <x:c r="J153" t="str">
        <x:f>IF(H153&gt;0,"Yes",IF(H153&lt;0,"No","Tie"))</x:f>
        <x:v>Yes</x:v>
      </x:c>
    </x:row>
    <x:row r="154">
      <x:c r="A154" t="str">
        <x:v>MICN</x:v>
      </x:c>
      <x:c r="B154" t="str">
        <x:v>ETTm2</x:v>
      </x:c>
      <x:c r="C154" t="n">
        <x:v>192</x:v>
      </x:c>
      <x:c r="D154" t="str">
        <x:v>COSA-P</x:v>
      </x:c>
      <x:c r="E154" t="str">
        <x:v>Spectral</x:v>
      </x:c>
      <x:c r="F154" s="4" t="n">
        <x:v>0.16677908599376678</x:v>
      </x:c>
      <x:c r="G154" s="4" t="n">
        <x:v>0.16440797845522562</x:v>
      </x:c>
      <x:c r="H154" s="4" t="n">
        <x:f>IF(OR(F154="",G154=""),"",F154-G154)</x:f>
        <x:v>0.0023711075385411673</x:v>
      </x:c>
      <x:c r="I154" s="5" t="n">
        <x:f>IFERROR(H154/F154,"")</x:f>
        <x:v>0.014217055600303417</x:v>
      </x:c>
      <x:c r="J154" t="str">
        <x:f>IF(H154&gt;0,"Yes",IF(H154&lt;0,"No","Tie"))</x:f>
        <x:v>Yes</x:v>
      </x:c>
    </x:row>
    <x:row r="155">
      <x:c r="A155" t="str">
        <x:v>MICN</x:v>
      </x:c>
      <x:c r="B155" t="str">
        <x:v>ETTm2</x:v>
      </x:c>
      <x:c r="C155" t="n">
        <x:v>336</x:v>
      </x:c>
      <x:c r="D155" t="str">
        <x:v>COSA-P</x:v>
      </x:c>
      <x:c r="E155" t="str">
        <x:v>Spectral</x:v>
      </x:c>
      <x:c r="F155" s="4" t="n">
        <x:v>0.21278460820515951</x:v>
      </x:c>
      <x:c r="G155" s="4" t="n">
        <x:v>0.18497327466805777</x:v>
      </x:c>
      <x:c r="H155" s="4" t="n">
        <x:f>IF(OR(F155="",G155=""),"",F155-G155)</x:f>
        <x:v>0.027811333537101746</x:v>
      </x:c>
      <x:c r="I155" s="5" t="n">
        <x:f>IFERROR(H155/F155,"")</x:f>
        <x:v>0.1307018104913257</x:v>
      </x:c>
      <x:c r="J155" t="str">
        <x:f>IF(H155&gt;0,"Yes",IF(H155&lt;0,"No","Tie"))</x:f>
        <x:v>Yes</x:v>
      </x:c>
    </x:row>
    <x:row r="156">
      <x:c r="A156" t="str">
        <x:v>MICN</x:v>
      </x:c>
      <x:c r="B156" t="str">
        <x:v>ETTm2</x:v>
      </x:c>
      <x:c r="C156" t="n">
        <x:v>720</x:v>
      </x:c>
      <x:c r="D156" t="str">
        <x:v>COSA-P</x:v>
      </x:c>
      <x:c r="E156" t="str">
        <x:v>Spectral</x:v>
      </x:c>
      <x:c r="F156" s="4" t="n">
        <x:v>0.2687795062859853</x:v>
      </x:c>
      <x:c r="G156" s="4" t="n">
        <x:v>0.20328092078367868</x:v>
      </x:c>
      <x:c r="H156" s="4" t="n">
        <x:f>IF(OR(F156="",G156=""),"",F156-G156)</x:f>
        <x:v>0.06549858550230661</x:v>
      </x:c>
      <x:c r="I156" s="5" t="n">
        <x:f>IFERROR(H156/F156,"")</x:f>
        <x:v>0.24368891217701386</x:v>
      </x:c>
      <x:c r="J156" t="str">
        <x:f>IF(H156&gt;0,"Yes",IF(H156&lt;0,"No","Tie"))</x:f>
        <x:v>Yes</x:v>
      </x:c>
    </x:row>
    <x:row r="157">
      <x:c r="A157" t="str">
        <x:v>MICN</x:v>
      </x:c>
      <x:c r="B157" t="str">
        <x:v>Exchange Rate</x:v>
      </x:c>
      <x:c r="C157" t="n">
        <x:v>96</x:v>
      </x:c>
      <x:c r="D157" t="str">
        <x:v>COSA-P</x:v>
      </x:c>
      <x:c r="E157" t="str">
        <x:v>Spectral</x:v>
      </x:c>
      <x:c r="F157" s="4" t="n">
        <x:v>0.09780034174521764</x:v>
      </x:c>
      <x:c r="G157" s="4" t="n">
        <x:v>0.09961241732041042</x:v>
      </x:c>
      <x:c r="H157" s="4" t="n">
        <x:f>IF(OR(F157="",G157=""),"",F157-G157)</x:f>
        <x:v>-0.0018120755751927786</x:v>
      </x:c>
      <x:c r="I157" s="5" t="n">
        <x:f>IFERROR(H157/F157,"")</x:f>
        <x:v>-0.01852831537044591</x:v>
      </x:c>
      <x:c r="J157" t="str">
        <x:f>IF(H157&gt;0,"Yes",IF(H157&lt;0,"No","Tie"))</x:f>
        <x:v>No</x:v>
      </x:c>
    </x:row>
    <x:row r="158">
      <x:c r="A158" t="str">
        <x:v>MICN</x:v>
      </x:c>
      <x:c r="B158" t="str">
        <x:v>Exchange Rate</x:v>
      </x:c>
      <x:c r="C158" t="n">
        <x:v>192</x:v>
      </x:c>
      <x:c r="D158" t="str">
        <x:v>COSA-P</x:v>
      </x:c>
      <x:c r="E158" t="str">
        <x:v>Spectral</x:v>
      </x:c>
      <x:c r="F158" s="4" t="n">
        <x:v>0.18832676112651825</x:v>
      </x:c>
      <x:c r="G158" s="4" t="n">
        <x:v>0.1748161862293879</x:v>
      </x:c>
      <x:c r="H158" s="4" t="n">
        <x:f>IF(OR(F158="",G158=""),"",F158-G158)</x:f>
        <x:v>0.01351057489713034</x:v>
      </x:c>
      <x:c r="I158" s="5" t="n">
        <x:f>IFERROR(H158/F158,"")</x:f>
        <x:v>0.07174006931523615</x:v>
      </x:c>
      <x:c r="J158" t="str">
        <x:f>IF(H158&gt;0,"Yes",IF(H158&lt;0,"No","Tie"))</x:f>
        <x:v>Yes</x:v>
      </x:c>
    </x:row>
    <x:row r="159">
      <x:c r="A159" t="str">
        <x:v>MICN</x:v>
      </x:c>
      <x:c r="B159" t="str">
        <x:v>Exchange Rate</x:v>
      </x:c>
      <x:c r="C159" t="n">
        <x:v>336</x:v>
      </x:c>
      <x:c r="D159" t="str">
        <x:v>COSA-P</x:v>
      </x:c>
      <x:c r="E159" t="str">
        <x:v>Spectral</x:v>
      </x:c>
      <x:c r="F159" s="4" t="n">
        <x:v>0.3107632597287496</x:v>
      </x:c>
      <x:c r="G159" s="4" t="n">
        <x:v>0.24237175285816193</x:v>
      </x:c>
      <x:c r="H159" s="4" t="n">
        <x:f>IF(OR(F159="",G159=""),"",F159-G159)</x:f>
        <x:v>0.06839150687058765</x:v>
      </x:c>
      <x:c r="I159" s="5" t="n">
        <x:f>IFERROR(H159/F159,"")</x:f>
        <x:v>0.2200759090063714</x:v>
      </x:c>
      <x:c r="J159" t="str">
        <x:f>IF(H159&gt;0,"Yes",IF(H159&lt;0,"No","Tie"))</x:f>
        <x:v>Yes</x:v>
      </x:c>
    </x:row>
    <x:row r="160">
      <x:c r="A160" t="str">
        <x:v>MICN</x:v>
      </x:c>
      <x:c r="B160" t="str">
        <x:v>Exchange Rate</x:v>
      </x:c>
      <x:c r="C160" t="n">
        <x:v>720</x:v>
      </x:c>
      <x:c r="D160" t="str">
        <x:v>COSA-P</x:v>
      </x:c>
      <x:c r="E160" t="str">
        <x:v>Spectral</x:v>
      </x:c>
      <x:c r="F160" s="4" t="n">
        <x:v>0.8958103259404501</x:v>
      </x:c>
      <x:c r="G160" s="4" t="n">
        <x:v>0.6371023654937744</x:v>
      </x:c>
      <x:c r="H160" s="4" t="n">
        <x:f>IF(OR(F160="",G160=""),"",F160-G160)</x:f>
        <x:v>0.25870796044667566</x:v>
      </x:c>
      <x:c r="I160" s="5" t="n">
        <x:f>IFERROR(H160/F160,"")</x:f>
        <x:v>0.28879769852516024</x:v>
      </x:c>
      <x:c r="J160" t="str">
        <x:f>IF(H160&gt;0,"Yes",IF(H160&lt;0,"No","Tie"))</x:f>
        <x:v>Yes</x:v>
      </x:c>
    </x:row>
    <x:row r="161">
      <x:c r="A161" t="str">
        <x:v>MICN</x:v>
      </x:c>
      <x:c r="B161" t="str">
        <x:v>weather</x:v>
      </x:c>
      <x:c r="C161" t="n">
        <x:v>96</x:v>
      </x:c>
      <x:c r="D161" t="str">
        <x:v>COSA-P</x:v>
      </x:c>
      <x:c r="E161" t="str">
        <x:v>Spectral</x:v>
      </x:c>
      <x:c r="F161" s="4" t="n">
        <x:v>0.1690617005030314</x:v>
      </x:c>
      <x:c r="G161" s="4" t="n">
        <x:v>0.16955308616161346</x:v>
      </x:c>
      <x:c r="H161" s="4" t="n">
        <x:f>IF(OR(F161="",G161=""),"",F161-G161)</x:f>
        <x:v>-0.0004913856585820608</x:v>
      </x:c>
      <x:c r="I161" s="5" t="n">
        <x:f>IFERROR(H161/F161,"")</x:f>
        <x:v>-0.002906546291205973</x:v>
      </x:c>
      <x:c r="J161" t="str">
        <x:f>IF(H161&gt;0,"Yes",IF(H161&lt;0,"No","Tie"))</x:f>
        <x:v>No</x:v>
      </x:c>
    </x:row>
    <x:row r="162">
      <x:c r="A162" t="str">
        <x:v>MICN</x:v>
      </x:c>
      <x:c r="B162" t="str">
        <x:v>weather</x:v>
      </x:c>
      <x:c r="C162" t="n">
        <x:v>192</x:v>
      </x:c>
      <x:c r="D162" t="str">
        <x:v>COSA-P</x:v>
      </x:c>
      <x:c r="E162" t="str">
        <x:v>Spectral</x:v>
      </x:c>
      <x:c r="F162" s="4" t="n">
        <x:v>0.22998568415641785</x:v>
      </x:c>
      <x:c r="G162" s="4" t="n">
        <x:v>0.2233666330575943</x:v>
      </x:c>
      <x:c r="H162" s="4" t="n">
        <x:f>IF(OR(F162="",G162=""),"",F162-G162)</x:f>
        <x:v>0.006619051098823547</x:v>
      </x:c>
      <x:c r="I162" s="5" t="n">
        <x:f>IFERROR(H162/F162,"")</x:f>
        <x:v>0.028780274403174586</x:v>
      </x:c>
      <x:c r="J162" t="str">
        <x:f>IF(H162&gt;0,"Yes",IF(H162&lt;0,"No","Tie"))</x:f>
        <x:v>Yes</x:v>
      </x:c>
    </x:row>
    <x:row r="163">
      <x:c r="A163" t="str">
        <x:v>MICN</x:v>
      </x:c>
      <x:c r="B163" t="str">
        <x:v>weather</x:v>
      </x:c>
      <x:c r="C163" t="n">
        <x:v>336</x:v>
      </x:c>
      <x:c r="D163" t="str">
        <x:v>COSA-P</x:v>
      </x:c>
      <x:c r="E163" t="str">
        <x:v>Spectral</x:v>
      </x:c>
      <x:c r="F163" s="4" t="n">
        <x:v>0.32065752148628235</x:v>
      </x:c>
      <x:c r="G163" s="4" t="n">
        <x:v>0.2554969737927119</x:v>
      </x:c>
      <x:c r="H163" s="4" t="n">
        <x:f>IF(OR(F163="",G163=""),"",F163-G163)</x:f>
        <x:v>0.06516054769357044</x:v>
      </x:c>
      <x:c r="I163" s="5" t="n">
        <x:f>IFERROR(H163/F163,"")</x:f>
        <x:v>0.20320916656357924</x:v>
      </x:c>
      <x:c r="J163" t="str">
        <x:f>IF(H163&gt;0,"Yes",IF(H163&lt;0,"No","Tie"))</x:f>
        <x:v>Yes</x:v>
      </x:c>
    </x:row>
    <x:row r="164">
      <x:c r="A164" t="str">
        <x:v>MICN</x:v>
      </x:c>
      <x:c r="B164" t="str">
        <x:v>weather</x:v>
      </x:c>
      <x:c r="C164" t="n">
        <x:v>720</x:v>
      </x:c>
      <x:c r="D164" t="str">
        <x:v>COSA-P</x:v>
      </x:c>
      <x:c r="E164" t="str">
        <x:v>Spectral</x:v>
      </x:c>
      <x:c r="F164" s="4" t="n">
        <x:v>0.370450496673584</x:v>
      </x:c>
      <x:c r="G164" s="4" t="n">
        <x:v>0.23238626619180044</x:v>
      </x:c>
      <x:c r="H164" s="4" t="n">
        <x:f>IF(OR(F164="",G164=""),"",F164-G164)</x:f>
        <x:v>0.13806423048178354</x:v>
      </x:c>
      <x:c r="I164" s="5" t="n">
        <x:f>IFERROR(H164/F164,"")</x:f>
        <x:v>0.3726927935622028</x:v>
      </x:c>
      <x:c r="J164" t="str">
        <x:f>IF(H164&gt;0,"Yes",IF(H164&lt;0,"No","Tie"))</x:f>
        <x:v>Yes</x:v>
      </x:c>
    </x:row>
    <x:row r="165">
      <x:c r="A165" t="str">
        <x:v>MICN</x:v>
      </x:c>
      <x:c r="B165" t="str">
        <x:v>electricity</x:v>
      </x:c>
      <x:c r="C165" t="n">
        <x:v>96</x:v>
      </x:c>
      <x:c r="D165" t="str">
        <x:v>COSA-P</x:v>
      </x:c>
      <x:c r="E165" t="str">
        <x:v>Spectral</x:v>
      </x:c>
      <x:c r="F165" s="4" t="n">
        <x:v>0.17324290672938028</x:v>
      </x:c>
      <x:c r="G165" s="4" t="n">
        <x:v>0.17284861703713736</x:v>
      </x:c>
      <x:c r="H165" s="4" t="n">
        <x:f>IF(OR(F165="",G165=""),"",F165-G165)</x:f>
        <x:v>0.00039428969224292176</x:v>
      </x:c>
      <x:c r="I165" s="5" t="n">
        <x:f>IFERROR(H165/F165,"")</x:f>
        <x:v>0.0022759355617302983</x:v>
      </x:c>
      <x:c r="J165" t="str">
        <x:f>IF(H165&gt;0,"Yes",IF(H165&lt;0,"No","Tie"))</x:f>
        <x:v>Yes</x:v>
      </x:c>
    </x:row>
    <x:row r="166">
      <x:c r="A166" t="str">
        <x:v>MICN</x:v>
      </x:c>
      <x:c r="B166" t="str">
        <x:v>electricity</x:v>
      </x:c>
      <x:c r="C166" t="n">
        <x:v>192</x:v>
      </x:c>
      <x:c r="D166" t="str">
        <x:v>COSA-P</x:v>
      </x:c>
      <x:c r="E166" t="str">
        <x:v>Spectral</x:v>
      </x:c>
      <x:c r="F166" s="4" t="n">
        <x:v>0.1789020299911499</x:v>
      </x:c>
      <x:c r="G166" s="4" t="n">
        <x:v>0.1830666015545527</x:v>
      </x:c>
      <x:c r="H166" s="4" t="n">
        <x:f>IF(OR(F166="",G166=""),"",F166-G166)</x:f>
        <x:v>-0.0041645715634028024</x:v>
      </x:c>
      <x:c r="I166" s="5" t="n">
        <x:f>IFERROR(H166/F166,"")</x:f>
        <x:v>-0.023278503679409448</x:v>
      </x:c>
      <x:c r="J166" t="str">
        <x:f>IF(H166&gt;0,"Yes",IF(H166&lt;0,"No","Tie"))</x:f>
        <x:v>No</x:v>
      </x:c>
    </x:row>
    <x:row r="167">
      <x:c r="A167" t="str">
        <x:v>MICN</x:v>
      </x:c>
      <x:c r="B167" t="str">
        <x:v>electricity</x:v>
      </x:c>
      <x:c r="C167" t="n">
        <x:v>336</x:v>
      </x:c>
      <x:c r="D167" t="str">
        <x:v>COSA-P</x:v>
      </x:c>
      <x:c r="E167" t="str">
        <x:v>Spectral</x:v>
      </x:c>
      <x:c r="F167" s="4" t="n">
        <x:v>0.17665539681911469</x:v>
      </x:c>
      <x:c r="G167" s="4" t="n">
        <x:v>0.18436365822950998</x:v>
      </x:c>
      <x:c r="H167" s="4" t="n">
        <x:f>IF(OR(F167="",G167=""),"",F167-G167)</x:f>
        <x:v>-0.007708261410395295</x:v>
      </x:c>
      <x:c r="I167" s="5" t="n">
        <x:f>IFERROR(H167/F167,"")</x:f>
        <x:v>-0.04363445187178814</x:v>
      </x:c>
      <x:c r="J167" t="str">
        <x:f>IF(H167&gt;0,"Yes",IF(H167&lt;0,"No","Tie"))</x:f>
        <x:v>No</x:v>
      </x:c>
    </x:row>
    <x:row r="168">
      <x:c r="A168" t="str">
        <x:v>MICN</x:v>
      </x:c>
      <x:c r="B168" t="str">
        <x:v>electricity</x:v>
      </x:c>
      <x:c r="C168" t="n">
        <x:v>720</x:v>
      </x:c>
      <x:c r="D168" t="str">
        <x:v>COSA-P</x:v>
      </x:c>
      <x:c r="E168" t="str">
        <x:v>Spectral</x:v>
      </x:c>
      <x:c r="F168" s="4" t="n">
        <x:v>0.18547391891479492</x:v>
      </x:c>
      <x:c r="G168" s="4" t="n">
        <x:v>0.18583383659521738</x:v>
      </x:c>
      <x:c r="H168" s="4" t="n">
        <x:f>IF(OR(F168="",G168=""),"",F168-G168)</x:f>
        <x:v>-0.00035991768042245575</x:v>
      </x:c>
      <x:c r="I168" s="5" t="n">
        <x:f>IFERROR(H168/F168,"")</x:f>
        <x:v>-0.0019405298735710585</x:v>
      </x:c>
      <x:c r="J168" t="str">
        <x:f>IF(H168&gt;0,"Yes",IF(H168&lt;0,"No","Tie"))</x:f>
        <x:v>No</x:v>
      </x:c>
    </x:row>
    <x:row r="169">
      <x:c r="A169" t="str">
        <x:v>MICN</x:v>
      </x:c>
      <x:c r="B169" t="str">
        <x:v>traffic</x:v>
      </x:c>
      <x:c r="C169" t="n">
        <x:v>96</x:v>
      </x:c>
      <x:c r="D169" t="str">
        <x:v>COSA-P</x:v>
      </x:c>
      <x:c r="E169" t="str">
        <x:v>Spectral</x:v>
      </x:c>
      <x:c r="F169" s="4" t="n">
        <x:v>0.4604647159576416</x:v>
      </x:c>
      <x:c r="G169" s="4" t="n">
        <x:v>0.4626895288626353</x:v>
      </x:c>
      <x:c r="H169" s="4" t="n">
        <x:f>IF(OR(F169="",G169=""),"",F169-G169)</x:f>
        <x:v>-0.0022248129049937115</x:v>
      </x:c>
      <x:c r="I169" s="5" t="n">
        <x:f>IFERROR(H169/F169,"")</x:f>
        <x:v>-0.004831668590212617</x:v>
      </x:c>
      <x:c r="J169" t="str">
        <x:f>IF(H169&gt;0,"Yes",IF(H169&lt;0,"No","Tie"))</x:f>
        <x:v>No</x:v>
      </x:c>
    </x:row>
    <x:row r="170">
      <x:c r="A170" t="str">
        <x:v>MICN</x:v>
      </x:c>
      <x:c r="B170" t="str">
        <x:v>traffic</x:v>
      </x:c>
      <x:c r="C170" t="n">
        <x:v>192</x:v>
      </x:c>
      <x:c r="D170" t="str">
        <x:v>COSA-P</x:v>
      </x:c>
      <x:c r="E170" t="str">
        <x:v>Spectral</x:v>
      </x:c>
      <x:c r="F170" s="4" t="n">
        <x:v>0.4749463001887004</x:v>
      </x:c>
      <x:c r="G170" s="4" t="n">
        <x:v>0.4781697789827983</x:v>
      </x:c>
      <x:c r="H170" s="4" t="n">
        <x:f>IF(OR(F170="",G170=""),"",F170-G170)</x:f>
        <x:v>-0.0032234787940979004</x:v>
      </x:c>
      <x:c r="I170" s="5" t="n">
        <x:f>IFERROR(H170/F170,"")</x:f>
        <x:v>-0.00678703843532876</x:v>
      </x:c>
      <x:c r="J170" t="str">
        <x:f>IF(H170&gt;0,"Yes",IF(H170&lt;0,"No","Tie"))</x:f>
        <x:v>No</x:v>
      </x:c>
    </x:row>
    <x:row r="171">
      <x:c r="A171" t="str">
        <x:v>MICN</x:v>
      </x:c>
      <x:c r="B171" t="str">
        <x:v>traffic</x:v>
      </x:c>
      <x:c r="C171" t="n">
        <x:v>336</x:v>
      </x:c>
      <x:c r="D171" t="str">
        <x:v>COSA-P</x:v>
      </x:c>
      <x:c r="E171" t="str">
        <x:v>Spectral</x:v>
      </x:c>
      <x:c r="F171" s="4" t="n">
        <x:v>0.4939431846141815</x:v>
      </x:c>
      <x:c r="G171" s="4" t="n">
        <x:v>0.4998069703578949</x:v>
      </x:c>
      <x:c r="H171" s="4" t="n">
        <x:f>IF(OR(F171="",G171=""),"",F171-G171)</x:f>
        <x:v>-0.005863785743713379</x:v>
      </x:c>
      <x:c r="I171" s="5" t="n">
        <x:f>IFERROR(H171/F171,"")</x:f>
        <x:v>-0.011871376964728394</x:v>
      </x:c>
      <x:c r="J171" t="str">
        <x:f>IF(H171&gt;0,"Yes",IF(H171&lt;0,"No","Tie"))</x:f>
        <x:v>No</x:v>
      </x:c>
    </x:row>
    <x:row r="172">
      <x:c r="A172" t="str">
        <x:v>MICN</x:v>
      </x:c>
      <x:c r="B172" t="str">
        <x:v>traffic</x:v>
      </x:c>
      <x:c r="C172" t="n">
        <x:v>720</x:v>
      </x:c>
      <x:c r="D172" t="str">
        <x:v>COSA-P</x:v>
      </x:c>
      <x:c r="E172" t="str">
        <x:v>Spectral</x:v>
      </x:c>
      <x:c r="F172" s="4" t="n">
        <x:v>0.5263590812683105</x:v>
      </x:c>
      <x:c r="G172" s="4" t="n">
        <x:v>0.5299643079439799</x:v>
      </x:c>
      <x:c r="H172" s="4" t="n">
        <x:f>IF(OR(F172="",G172=""),"",F172-G172)</x:f>
        <x:v>-0.003605226675669315</x:v>
      </x:c>
      <x:c r="I172" s="5" t="n">
        <x:f>IFERROR(H172/F172,"")</x:f>
        <x:v>-0.006849367293107569</x:v>
      </x:c>
      <x:c r="J172" t="str">
        <x:f>IF(H172&gt;0,"Yes",IF(H172&lt;0,"No","Tie"))</x:f>
        <x:v>No</x:v>
      </x:c>
    </x:row>
  </x:sheetData>
  <x:mergeCells>
    <x:mergeCell ref="L1:O1"/>
  </x:mergeCells>
  <x:conditionalFormatting sqref="H2:I172">
    <x:cfRule type="cellIs" dxfId="28" priority="1" operator="greaterThan">
      <x:formula>0</x:formula>
    </x:cfRule>
    <x:cfRule type="cellIs" dxfId="2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39178e32e4418f"/>
  </x:tableParts>
</x:worksheet>
</file>